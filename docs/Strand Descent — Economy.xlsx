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ME" sheetId="1" state="visible" r:id="rId1"/>
    <sheet name="Assumptions" sheetId="2" state="visible" r:id="rId2"/>
    <sheet name="Player Stats Curve" sheetId="3" state="visible" r:id="rId3"/>
    <sheet name="XP &amp; Level Curve" sheetId="4" state="visible" r:id="rId4"/>
    <sheet name="Drop Rates" sheetId="5" state="visible" r:id="rId5"/>
    <sheet name="Enemy Stats" sheetId="6" state="visible" r:id="rId6"/>
    <sheet name="Currencies" sheetId="7" state="visible" r:id="rId7"/>
    <sheet name="Run Pacing" sheetId="8" state="visible" r:id="rId8"/>
    <sheet name="Mutation Costs" sheetId="9" state="visible" r:id="rId9"/>
    <sheet name="IAP Catalog" sheetId="10" state="visible" r:id="rId10"/>
    <sheet name="DAU &amp; Revenue Model" sheetId="11" state="visible" r:id="rId11"/>
    <sheet name="Cost Projection" sheetId="12" state="visible" r:id="rId12"/>
    <sheet name="Pass Sensitivity" sheetId="13" state="visible" r:id="rId13"/>
    <sheet name="Validation Checks" sheetId="14" state="visible" r:id="rId14"/>
  </sheets>
  <definedNames/>
  <calcPr calcId="124519" fullCalcOnLoad="1" refMode="A1" iterate="0" iterateCount="100" iterateDelta="0.0001"/>
</workbook>
</file>

<file path=xl/styles.xml><?xml version="1.0" encoding="utf-8"?>
<styleSheet xmlns="http://schemas.openxmlformats.org/spreadsheetml/2006/main">
  <numFmts count="10">
    <numFmt numFmtId="164" formatCode="#,##0;\(#,##0\);\-"/>
    <numFmt numFmtId="165" formatCode="0.0%;\(0.0%\);\-"/>
    <numFmt numFmtId="166" formatCode="#,##0.0;\(#,##0.0\);\-"/>
    <numFmt numFmtId="167" formatCode="0%;\(0%\);\-"/>
    <numFmt numFmtId="168" formatCode="\$#,##0.00"/>
    <numFmt numFmtId="169" formatCode="\$#,##0"/>
    <numFmt numFmtId="170" formatCode="#,##0.00;\(#,##0.00\);\-"/>
    <numFmt numFmtId="171" formatCode="\$0.0000"/>
    <numFmt numFmtId="172" formatCode="0.0%"/>
    <numFmt numFmtId="173" formatCode="0.0"/>
  </numFmts>
  <fonts count="24">
    <font>
      <name val="Calibri"/>
      <charset val="1"/>
      <family val="2"/>
      <color theme="1"/>
      <sz val="11"/>
    </font>
    <font>
      <name val="Arial"/>
      <family val="0"/>
      <sz val="10"/>
    </font>
    <font>
      <name val="Arial"/>
      <family val="0"/>
      <sz val="10"/>
    </font>
    <font>
      <name val="Arial"/>
      <family val="0"/>
      <sz val="10"/>
    </font>
    <font>
      <name val="Arial"/>
      <charset val="1"/>
      <family val="0"/>
      <b val="1"/>
      <color rgb="FF1F2A44"/>
      <sz val="16"/>
    </font>
    <font>
      <name val="Arial"/>
      <charset val="1"/>
      <family val="0"/>
      <i val="1"/>
      <color rgb="FF555555"/>
      <sz val="10"/>
    </font>
    <font>
      <name val="Arial"/>
      <charset val="1"/>
      <family val="0"/>
      <b val="1"/>
      <color rgb="FF000000"/>
      <sz val="11"/>
    </font>
    <font>
      <name val="Arial"/>
      <charset val="1"/>
      <family val="0"/>
      <b val="1"/>
      <color rgb="FF1F2A44"/>
      <sz val="11"/>
    </font>
    <font>
      <name val="Arial"/>
      <charset val="1"/>
      <family val="0"/>
      <b val="1"/>
      <color rgb="FFFFFFFF"/>
      <sz val="11"/>
    </font>
    <font>
      <name val="Arial"/>
      <charset val="1"/>
      <family val="0"/>
      <b val="1"/>
      <color rgb="FFFFFFFF"/>
      <sz val="12"/>
    </font>
    <font>
      <name val="Arial"/>
      <charset val="1"/>
      <family val="0"/>
      <color rgb="FF888888"/>
      <sz val="9"/>
    </font>
    <font>
      <name val="Arial"/>
      <charset val="1"/>
      <family val="0"/>
      <color rgb="FF0000FF"/>
      <sz val="11"/>
    </font>
    <font>
      <name val="Arial"/>
      <charset val="1"/>
      <family val="0"/>
      <color rgb="FF666666"/>
      <sz val="9"/>
    </font>
    <font>
      <name val="Arial"/>
      <charset val="1"/>
      <family val="0"/>
      <i val="1"/>
      <color rgb="FF666666"/>
      <sz val="9"/>
    </font>
    <font>
      <name val="Arial"/>
      <family val="2"/>
      <sz val="10"/>
    </font>
    <font>
      <name val="Arial"/>
      <charset val="1"/>
      <family val="0"/>
      <color rgb="FF008000"/>
      <sz val="11"/>
    </font>
    <font>
      <name val="Arial"/>
      <charset val="1"/>
      <family val="0"/>
      <b val="1"/>
      <sz val="11"/>
    </font>
    <font>
      <name val="Arial"/>
      <charset val="1"/>
      <family val="0"/>
      <color rgb="FF000000"/>
      <sz val="11"/>
    </font>
    <font>
      <name val="Arial"/>
      <charset val="1"/>
      <family val="0"/>
      <color rgb="FF888888"/>
      <sz val="11"/>
    </font>
    <font>
      <name val="Arial"/>
      <charset val="1"/>
      <family val="0"/>
      <color rgb="FF666666"/>
      <sz val="11"/>
    </font>
    <font>
      <name val="Arial"/>
      <charset val="1"/>
      <family val="0"/>
      <b val="1"/>
      <color rgb="FF006100"/>
      <sz val="11"/>
    </font>
    <font>
      <name val="Arial"/>
      <charset val="1"/>
      <family val="0"/>
      <b val="1"/>
      <color rgb="FF9C5700"/>
      <sz val="11"/>
    </font>
    <font>
      <name val="Arial"/>
      <charset val="1"/>
      <family val="0"/>
      <b val="1"/>
      <color rgb="FF9C0006"/>
      <sz val="11"/>
    </font>
    <font>
      <name val="Arial"/>
      <charset val="1"/>
      <family val="0"/>
      <b val="1"/>
      <sz val="12"/>
    </font>
  </fonts>
  <fills count="16">
    <fill>
      <patternFill/>
    </fill>
    <fill>
      <patternFill patternType="gray125"/>
    </fill>
    <fill>
      <patternFill patternType="solid">
        <fgColor rgb="FFEEF0F4"/>
        <bgColor rgb="FFF7F7F7"/>
      </patternFill>
    </fill>
    <fill>
      <patternFill patternType="solid">
        <fgColor rgb="FF1F2A44"/>
        <bgColor rgb="FF003366"/>
      </patternFill>
    </fill>
    <fill>
      <patternFill patternType="solid">
        <fgColor rgb="FF2E4172"/>
        <bgColor rgb="FF1F2A44"/>
      </patternFill>
    </fill>
    <fill>
      <patternFill patternType="solid">
        <fgColor rgb="FFFFFF00"/>
        <bgColor rgb="FFFFFF00"/>
      </patternFill>
    </fill>
    <fill>
      <patternFill patternType="solid">
        <fgColor rgb="FFF7F7F7"/>
        <bgColor rgb="FFEEF0F4"/>
      </patternFill>
    </fill>
    <fill>
      <patternFill patternType="solid">
        <fgColor rgb="FF8B3A3A"/>
        <bgColor rgb="FF993366"/>
      </patternFill>
    </fill>
    <fill>
      <patternFill patternType="solid">
        <fgColor rgb="FFF5E0E0"/>
        <bgColor rgb="FFFAF1D6"/>
      </patternFill>
    </fill>
    <fill>
      <patternFill patternType="solid">
        <fgColor rgb="FFC29F1A"/>
        <bgColor rgb="FF99CC00"/>
      </patternFill>
    </fill>
    <fill>
      <patternFill patternType="solid">
        <fgColor rgb="FFFAF1D6"/>
        <bgColor rgb="FFEEF0F4"/>
      </patternFill>
    </fill>
    <fill>
      <patternFill patternType="solid">
        <fgColor rgb="FF2E6B3B"/>
        <bgColor rgb="FF555555"/>
      </patternFill>
    </fill>
    <fill>
      <patternFill patternType="solid">
        <fgColor rgb="FFDEEEDF"/>
        <bgColor rgb="FFEEF0F4"/>
      </patternFill>
    </fill>
    <fill>
      <patternFill patternType="solid">
        <fgColor rgb="FFC6EFCE"/>
        <bgColor rgb="FFDEEEDF"/>
      </patternFill>
    </fill>
    <fill>
      <patternFill patternType="solid">
        <fgColor rgb="FFFFEB9C"/>
        <bgColor rgb="FFFAF1D6"/>
      </patternFill>
    </fill>
    <fill>
      <patternFill patternType="solid">
        <fgColor rgb="FFFFC7CE"/>
        <bgColor rgb="FFF5E0E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left" vertical="top" wrapText="1"/>
    </xf>
    <xf numFmtId="0" fontId="0" fillId="0" borderId="0" applyAlignment="1" pivotButton="0" quotePrefix="0" xfId="0">
      <alignment horizontal="left" vertical="top" wrapText="1"/>
    </xf>
    <xf numFmtId="0" fontId="7" fillId="2" borderId="0" applyAlignment="1" pivotButton="0" quotePrefix="0" xfId="0">
      <alignment horizontal="left" vertical="top" wrapText="1"/>
    </xf>
    <xf numFmtId="0" fontId="0" fillId="2" borderId="0" applyAlignment="1" pivotButton="0" quotePrefix="0" xfId="0">
      <alignment horizontal="left" vertical="top" wrapText="1"/>
    </xf>
    <xf numFmtId="0" fontId="8" fillId="3" borderId="1" applyAlignment="1" pivotButton="0" quotePrefix="0" xfId="0">
      <alignment horizontal="center" vertical="center" wrapText="1"/>
    </xf>
    <xf numFmtId="0" fontId="9" fillId="4" borderId="0" applyAlignment="1" pivotButton="0" quotePrefix="0" xfId="0">
      <alignment horizontal="left" vertical="center" wrapText="1"/>
    </xf>
    <xf numFmtId="0" fontId="10" fillId="0" borderId="0" applyAlignment="1" pivotButton="0" quotePrefix="0" xfId="0">
      <alignment horizontal="center" vertical="center" wrapText="1"/>
    </xf>
    <xf numFmtId="0" fontId="6" fillId="0" borderId="0" applyAlignment="1" pivotButton="0" quotePrefix="0" xfId="0">
      <alignment horizontal="left" vertical="center" wrapText="1"/>
    </xf>
    <xf numFmtId="164" fontId="11" fillId="0" borderId="0" applyAlignment="1" pivotButton="0" quotePrefix="0" xfId="0">
      <alignment horizontal="right" vertical="center"/>
    </xf>
    <xf numFmtId="0" fontId="12" fillId="0" borderId="0" applyAlignment="1" pivotButton="0" quotePrefix="0" xfId="0">
      <alignment horizontal="center" vertical="center" wrapText="1"/>
    </xf>
    <xf numFmtId="0" fontId="13" fillId="0" borderId="0" applyAlignment="1" pivotButton="0" quotePrefix="0" xfId="0">
      <alignment horizontal="left" vertical="center" wrapText="1"/>
    </xf>
    <xf numFmtId="165" fontId="11" fillId="5" borderId="0" applyAlignment="1" pivotButton="0" quotePrefix="0" xfId="0">
      <alignment horizontal="right" vertical="center"/>
    </xf>
    <xf numFmtId="166" fontId="11" fillId="0" borderId="0" applyAlignment="1" pivotButton="0" quotePrefix="0" xfId="0">
      <alignment horizontal="right" vertical="center"/>
    </xf>
    <xf numFmtId="165" fontId="11" fillId="0" borderId="0" applyAlignment="1" pivotButton="0" quotePrefix="0" xfId="0">
      <alignment horizontal="right" vertical="center"/>
    </xf>
    <xf numFmtId="167" fontId="11" fillId="0" borderId="0" applyAlignment="1" pivotButton="0" quotePrefix="0" xfId="0">
      <alignment horizontal="right" vertical="center"/>
    </xf>
    <xf numFmtId="164" fontId="11" fillId="5" borderId="0" applyAlignment="1" pivotButton="0" quotePrefix="0" xfId="0">
      <alignment horizontal="right" vertical="center"/>
    </xf>
    <xf numFmtId="166" fontId="11" fillId="5" borderId="0" applyAlignment="1" pivotButton="0" quotePrefix="0" xfId="0">
      <alignment horizontal="right" vertical="center"/>
    </xf>
    <xf numFmtId="168" fontId="11" fillId="0" borderId="0" applyAlignment="1" pivotButton="0" quotePrefix="0" xfId="0">
      <alignment horizontal="right" vertical="center"/>
    </xf>
    <xf numFmtId="168" fontId="11" fillId="5" borderId="0" applyAlignment="1" pivotButton="0" quotePrefix="0" xfId="0">
      <alignment horizontal="right" vertical="center"/>
    </xf>
    <xf numFmtId="169" fontId="11" fillId="5" borderId="0" applyAlignment="1" pivotButton="0" quotePrefix="0" xfId="0">
      <alignment horizontal="right" vertical="center"/>
    </xf>
    <xf numFmtId="169" fontId="11" fillId="0" borderId="0" applyAlignment="1" pivotButton="0" quotePrefix="0" xfId="0">
      <alignment horizontal="right" vertical="center"/>
    </xf>
    <xf numFmtId="0" fontId="6" fillId="0" borderId="0" applyAlignment="1" pivotButton="0" quotePrefix="0" xfId="0">
      <alignment horizontal="general" vertical="bottom"/>
    </xf>
    <xf numFmtId="164" fontId="15" fillId="0" borderId="0" applyAlignment="1" pivotButton="0" quotePrefix="0" xfId="0">
      <alignment horizontal="general" vertical="bottom"/>
    </xf>
    <xf numFmtId="165" fontId="15" fillId="0" borderId="0" applyAlignment="1" pivotButton="0" quotePrefix="0" xfId="0">
      <alignment horizontal="general" vertical="bottom"/>
    </xf>
    <xf numFmtId="0" fontId="16" fillId="0" borderId="0" applyAlignment="1" pivotButton="0" quotePrefix="0" xfId="0">
      <alignment horizontal="center" vertical="center" wrapText="1"/>
    </xf>
    <xf numFmtId="164" fontId="17" fillId="0" borderId="0" applyAlignment="1" pivotButton="0" quotePrefix="0" xfId="0">
      <alignment horizontal="general" vertical="bottom"/>
    </xf>
    <xf numFmtId="170" fontId="17" fillId="0" borderId="0" applyAlignment="1" pivotButton="0" quotePrefix="0" xfId="0">
      <alignment horizontal="general" vertical="bottom"/>
    </xf>
    <xf numFmtId="0" fontId="13" fillId="0" borderId="0" applyAlignment="1" pivotButton="0" quotePrefix="0" xfId="0">
      <alignment horizontal="general" vertical="bottom"/>
    </xf>
    <xf numFmtId="0" fontId="16" fillId="6" borderId="0" applyAlignment="1" pivotButton="0" quotePrefix="0" xfId="0">
      <alignment horizontal="center" vertical="center" wrapText="1"/>
    </xf>
    <xf numFmtId="164" fontId="17" fillId="6" borderId="0" applyAlignment="1" pivotButton="0" quotePrefix="0" xfId="0">
      <alignment horizontal="general" vertical="bottom"/>
    </xf>
    <xf numFmtId="170" fontId="17" fillId="6" borderId="0" applyAlignment="1" pivotButton="0" quotePrefix="0" xfId="0">
      <alignment horizontal="general" vertical="bottom"/>
    </xf>
    <xf numFmtId="0" fontId="13" fillId="6" borderId="0" applyAlignment="1" pivotButton="0" quotePrefix="0" xfId="0">
      <alignment horizontal="general" vertical="bottom"/>
    </xf>
    <xf numFmtId="0" fontId="0" fillId="6" borderId="0" applyAlignment="1" pivotButton="0" quotePrefix="0" xfId="0">
      <alignment horizontal="general" vertical="bottom"/>
    </xf>
    <xf numFmtId="0" fontId="18" fillId="6" borderId="0" applyAlignment="1" pivotButton="0" quotePrefix="0" xfId="0">
      <alignment horizontal="center" vertical="center" wrapText="1"/>
    </xf>
    <xf numFmtId="0" fontId="6" fillId="0" borderId="0" applyAlignment="1" pivotButton="0" quotePrefix="0" xfId="0">
      <alignment horizontal="general" vertical="bottom"/>
    </xf>
    <xf numFmtId="0" fontId="6" fillId="2"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applyAlignment="1" pivotButton="0" quotePrefix="0" xfId="0">
      <alignment horizontal="left" vertical="center" wrapText="1"/>
    </xf>
    <xf numFmtId="167" fontId="15" fillId="0" borderId="0" applyAlignment="1" pivotButton="0" quotePrefix="0" xfId="0">
      <alignment horizontal="general" vertical="bottom"/>
    </xf>
    <xf numFmtId="0" fontId="13" fillId="0" borderId="0" applyAlignment="1" pivotButton="0" quotePrefix="0" xfId="0">
      <alignment horizontal="right" vertical="center"/>
    </xf>
    <xf numFmtId="166" fontId="15" fillId="0" borderId="0" applyAlignment="1" pivotButton="0" quotePrefix="0" xfId="0">
      <alignment horizontal="general" vertical="bottom"/>
    </xf>
    <xf numFmtId="166" fontId="17" fillId="0" borderId="0" applyAlignment="1" pivotButton="0" quotePrefix="0" xfId="0">
      <alignment horizontal="general" vertical="bottom"/>
    </xf>
    <xf numFmtId="0" fontId="17" fillId="0" borderId="0" applyAlignment="1" pivotButton="0" quotePrefix="0" xfId="0">
      <alignment horizontal="center" vertical="center" wrapText="1"/>
    </xf>
    <xf numFmtId="166" fontId="17" fillId="6" borderId="0" applyAlignment="1" pivotButton="0" quotePrefix="0" xfId="0">
      <alignment horizontal="general" vertical="bottom"/>
    </xf>
    <xf numFmtId="0" fontId="17" fillId="6" borderId="0" applyAlignment="1" pivotButton="0" quotePrefix="0" xfId="0">
      <alignment horizontal="center" vertical="center" wrapText="1"/>
    </xf>
    <xf numFmtId="0" fontId="16" fillId="2" borderId="0" applyAlignment="1" pivotButton="0" quotePrefix="0" xfId="0">
      <alignment horizontal="center" vertical="center" wrapText="1"/>
    </xf>
    <xf numFmtId="0" fontId="16" fillId="2" borderId="0" applyAlignment="1" pivotButton="0" quotePrefix="0" xfId="0">
      <alignment horizontal="general" vertical="bottom"/>
    </xf>
    <xf numFmtId="166" fontId="16" fillId="2" borderId="0" applyAlignment="1" pivotButton="0" quotePrefix="0" xfId="0">
      <alignment horizontal="general" vertical="bottom"/>
    </xf>
    <xf numFmtId="170" fontId="16" fillId="2" borderId="0" applyAlignment="1" pivotButton="0" quotePrefix="0" xfId="0">
      <alignment horizontal="general" vertical="bottom"/>
    </xf>
    <xf numFmtId="0" fontId="0" fillId="0" borderId="0" applyAlignment="1" pivotButton="0" quotePrefix="0" xfId="0">
      <alignment horizontal="center" vertical="center" wrapText="1"/>
    </xf>
    <xf numFmtId="0" fontId="0" fillId="6" borderId="0" applyAlignment="1" pivotButton="0" quotePrefix="0" xfId="0">
      <alignment horizontal="center" vertical="center" wrapText="1"/>
    </xf>
    <xf numFmtId="164" fontId="15" fillId="6" borderId="0" applyAlignment="1" pivotButton="0" quotePrefix="0" xfId="0">
      <alignment horizontal="general" vertical="bottom"/>
    </xf>
    <xf numFmtId="166" fontId="17" fillId="2" borderId="0" applyAlignment="1" pivotButton="0" quotePrefix="0" xfId="0">
      <alignment horizontal="general" vertical="bottom"/>
    </xf>
    <xf numFmtId="164" fontId="17" fillId="2" borderId="0" applyAlignment="1" pivotButton="0" quotePrefix="0" xfId="0">
      <alignment horizontal="general" vertical="bottom"/>
    </xf>
    <xf numFmtId="166" fontId="15" fillId="6" borderId="0" applyAlignment="1" pivotButton="0" quotePrefix="0" xfId="0">
      <alignment horizontal="general" vertical="bottom"/>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8" fillId="3" borderId="0" applyAlignment="1" pivotButton="0" quotePrefix="0" xfId="0">
      <alignment horizontal="center" vertical="center" wrapText="1"/>
    </xf>
    <xf numFmtId="0" fontId="13" fillId="0" borderId="0" applyAlignment="1" pivotButton="0" quotePrefix="0" xfId="0">
      <alignment horizontal="general" vertical="bottom"/>
    </xf>
    <xf numFmtId="0" fontId="6" fillId="6" borderId="0" applyAlignment="1" pivotButton="0" quotePrefix="0" xfId="0">
      <alignment horizontal="left" vertical="center" wrapText="1"/>
    </xf>
    <xf numFmtId="168" fontId="15" fillId="0" borderId="0" applyAlignment="1" pivotButton="0" quotePrefix="0" xfId="0">
      <alignment horizontal="general" vertical="bottom"/>
    </xf>
    <xf numFmtId="168" fontId="15" fillId="6" borderId="0" applyAlignment="1" pivotButton="0" quotePrefix="0" xfId="0">
      <alignment horizontal="general" vertical="bottom"/>
    </xf>
    <xf numFmtId="171" fontId="17" fillId="6" borderId="0" applyAlignment="1" pivotButton="0" quotePrefix="0" xfId="0">
      <alignment horizontal="general" vertical="bottom"/>
    </xf>
    <xf numFmtId="0" fontId="18" fillId="0" borderId="0" applyAlignment="1" pivotButton="0" quotePrefix="0" xfId="0">
      <alignment horizontal="center" vertical="center" wrapText="1"/>
    </xf>
    <xf numFmtId="171" fontId="17" fillId="0" borderId="0" applyAlignment="1" pivotButton="0" quotePrefix="0" xfId="0">
      <alignment horizontal="general" vertical="bottom"/>
    </xf>
    <xf numFmtId="168" fontId="17" fillId="2" borderId="0" applyAlignment="1" pivotButton="0" quotePrefix="0" xfId="0">
      <alignment horizontal="general" vertical="bottom"/>
    </xf>
    <xf numFmtId="0" fontId="8" fillId="7" borderId="0" applyAlignment="1" pivotButton="0" quotePrefix="0" xfId="0">
      <alignment horizontal="left" vertical="center" wrapText="1"/>
    </xf>
    <xf numFmtId="0" fontId="6" fillId="8" borderId="0" applyAlignment="1" pivotButton="0" quotePrefix="0" xfId="0">
      <alignment horizontal="left" vertical="center" wrapText="1"/>
    </xf>
    <xf numFmtId="164" fontId="17" fillId="8" borderId="0" applyAlignment="1" pivotButton="0" quotePrefix="0" xfId="0">
      <alignment horizontal="general" vertical="bottom"/>
    </xf>
    <xf numFmtId="164" fontId="16" fillId="8" borderId="0" applyAlignment="1" pivotButton="0" quotePrefix="0" xfId="0">
      <alignment horizontal="general" vertical="bottom"/>
    </xf>
    <xf numFmtId="169" fontId="17" fillId="8" borderId="0" applyAlignment="1" pivotButton="0" quotePrefix="0" xfId="0">
      <alignment horizontal="general" vertical="bottom"/>
    </xf>
    <xf numFmtId="169" fontId="16" fillId="8" borderId="0" applyAlignment="1" pivotButton="0" quotePrefix="0" xfId="0">
      <alignment horizontal="general" vertical="bottom"/>
    </xf>
    <xf numFmtId="0" fontId="8" fillId="9" borderId="0" applyAlignment="1" pivotButton="0" quotePrefix="0" xfId="0">
      <alignment horizontal="left" vertical="center" wrapText="1"/>
    </xf>
    <xf numFmtId="0" fontId="6" fillId="10" borderId="0" applyAlignment="1" pivotButton="0" quotePrefix="0" xfId="0">
      <alignment horizontal="left" vertical="center" wrapText="1"/>
    </xf>
    <xf numFmtId="164" fontId="17" fillId="10" borderId="0" applyAlignment="1" pivotButton="0" quotePrefix="0" xfId="0">
      <alignment horizontal="general" vertical="bottom"/>
    </xf>
    <xf numFmtId="164" fontId="16" fillId="10" borderId="0" applyAlignment="1" pivotButton="0" quotePrefix="0" xfId="0">
      <alignment horizontal="general" vertical="bottom"/>
    </xf>
    <xf numFmtId="169" fontId="17" fillId="10" borderId="0" applyAlignment="1" pivotButton="0" quotePrefix="0" xfId="0">
      <alignment horizontal="general" vertical="bottom"/>
    </xf>
    <xf numFmtId="169" fontId="16" fillId="10" borderId="0" applyAlignment="1" pivotButton="0" quotePrefix="0" xfId="0">
      <alignment horizontal="general" vertical="bottom"/>
    </xf>
    <xf numFmtId="0" fontId="8" fillId="11" borderId="0" applyAlignment="1" pivotButton="0" quotePrefix="0" xfId="0">
      <alignment horizontal="left" vertical="center" wrapText="1"/>
    </xf>
    <xf numFmtId="0" fontId="6" fillId="12" borderId="0" applyAlignment="1" pivotButton="0" quotePrefix="0" xfId="0">
      <alignment horizontal="left" vertical="center" wrapText="1"/>
    </xf>
    <xf numFmtId="164" fontId="17" fillId="12" borderId="0" applyAlignment="1" pivotButton="0" quotePrefix="0" xfId="0">
      <alignment horizontal="general" vertical="bottom"/>
    </xf>
    <xf numFmtId="164" fontId="16" fillId="12" borderId="0" applyAlignment="1" pivotButton="0" quotePrefix="0" xfId="0">
      <alignment horizontal="general" vertical="bottom"/>
    </xf>
    <xf numFmtId="169" fontId="17" fillId="12" borderId="0" applyAlignment="1" pivotButton="0" quotePrefix="0" xfId="0">
      <alignment horizontal="general" vertical="bottom"/>
    </xf>
    <xf numFmtId="169" fontId="16" fillId="12" borderId="0" applyAlignment="1" pivotButton="0" quotePrefix="0" xfId="0">
      <alignment horizontal="general" vertical="bottom"/>
    </xf>
    <xf numFmtId="169" fontId="17" fillId="0" borderId="0" applyAlignment="1" pivotButton="0" quotePrefix="0" xfId="0">
      <alignment horizontal="general" vertical="bottom"/>
    </xf>
    <xf numFmtId="169" fontId="15" fillId="0" borderId="0" applyAlignment="1" pivotButton="0" quotePrefix="0" xfId="0">
      <alignment horizontal="general" vertical="bottom"/>
    </xf>
    <xf numFmtId="169" fontId="15" fillId="8" borderId="0" applyAlignment="1" pivotButton="0" quotePrefix="0" xfId="0">
      <alignment horizontal="general" vertical="bottom"/>
    </xf>
    <xf numFmtId="169" fontId="15" fillId="10" borderId="0" applyAlignment="1" pivotButton="0" quotePrefix="0" xfId="0">
      <alignment horizontal="general" vertical="bottom"/>
    </xf>
    <xf numFmtId="169" fontId="15" fillId="12" borderId="0" applyAlignment="1" pivotButton="0" quotePrefix="0" xfId="0">
      <alignment horizontal="general" vertical="bottom"/>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164" fontId="15" fillId="0" borderId="0" applyAlignment="1" pivotButton="0" quotePrefix="0" xfId="0">
      <alignment horizontal="right" vertical="center"/>
    </xf>
    <xf numFmtId="0" fontId="17" fillId="0" borderId="0" applyAlignment="1" pivotButton="0" quotePrefix="0" xfId="0">
      <alignment horizontal="right" vertical="center"/>
    </xf>
    <xf numFmtId="168" fontId="8" fillId="3" borderId="1" applyAlignment="1" pivotButton="0" quotePrefix="0" xfId="0">
      <alignment horizontal="center" vertical="center" wrapText="1"/>
    </xf>
    <xf numFmtId="167" fontId="6" fillId="6" borderId="0" applyAlignment="1" pivotButton="0" quotePrefix="0" xfId="0">
      <alignment horizontal="center" vertical="center" wrapText="1"/>
    </xf>
    <xf numFmtId="169" fontId="17" fillId="6" borderId="0" applyAlignment="1" pivotButton="0" quotePrefix="0" xfId="0">
      <alignment horizontal="general" vertical="bottom"/>
    </xf>
    <xf numFmtId="167" fontId="6" fillId="0" borderId="0" applyAlignment="1" pivotButton="0" quotePrefix="0" xfId="0">
      <alignment horizontal="center" vertical="center" wrapText="1"/>
    </xf>
    <xf numFmtId="169" fontId="17" fillId="2" borderId="0" applyAlignment="1" pivotButton="0" quotePrefix="0" xfId="0">
      <alignment horizontal="general" vertical="bottom"/>
    </xf>
    <xf numFmtId="0" fontId="10" fillId="6" borderId="0" applyAlignment="1" pivotButton="0" quotePrefix="0" xfId="0">
      <alignment horizontal="center" vertical="center" wrapText="1"/>
    </xf>
    <xf numFmtId="0" fontId="19" fillId="6" borderId="0" applyAlignment="1" pivotButton="0" quotePrefix="0" xfId="0">
      <alignment horizontal="center" vertical="center" wrapText="1"/>
    </xf>
    <xf numFmtId="0" fontId="15" fillId="6" borderId="0" applyAlignment="1" pivotButton="0" quotePrefix="0" xfId="0">
      <alignment horizontal="center" vertical="center" wrapText="1"/>
    </xf>
    <xf numFmtId="0" fontId="13" fillId="6" borderId="0" applyAlignment="1" pivotButton="0" quotePrefix="0" xfId="0">
      <alignment horizontal="left" vertical="center" wrapText="1"/>
    </xf>
    <xf numFmtId="0" fontId="19" fillId="0" borderId="0" applyAlignment="1" pivotButton="0" quotePrefix="0" xfId="0">
      <alignment horizontal="center" vertical="center" wrapText="1"/>
    </xf>
    <xf numFmtId="0" fontId="15" fillId="0" borderId="0" applyAlignment="1" pivotButton="0" quotePrefix="0" xfId="0">
      <alignment horizontal="center" vertical="center" wrapText="1"/>
    </xf>
    <xf numFmtId="166" fontId="15" fillId="0" borderId="0" applyAlignment="1" pivotButton="0" quotePrefix="0" xfId="0">
      <alignment horizontal="center" vertical="center" wrapText="1"/>
    </xf>
    <xf numFmtId="164" fontId="15" fillId="6" borderId="0" applyAlignment="1" pivotButton="0" quotePrefix="0" xfId="0">
      <alignment horizontal="center" vertical="center" wrapText="1"/>
    </xf>
    <xf numFmtId="172" fontId="15" fillId="0" borderId="0" applyAlignment="1" pivotButton="0" quotePrefix="0" xfId="0">
      <alignment horizontal="center" vertical="center" wrapText="1"/>
    </xf>
    <xf numFmtId="164" fontId="15" fillId="0" borderId="0" applyAlignment="1" pivotButton="0" quotePrefix="0" xfId="0">
      <alignment horizontal="center" vertical="center" wrapText="1"/>
    </xf>
    <xf numFmtId="168" fontId="15" fillId="6" borderId="0" applyAlignment="1" pivotButton="0" quotePrefix="0" xfId="0">
      <alignment horizontal="center" vertical="center" wrapText="1"/>
    </xf>
    <xf numFmtId="173" fontId="15" fillId="0" borderId="0" applyAlignment="1" pivotButton="0" quotePrefix="0" xfId="0">
      <alignment horizontal="center" vertical="center" wrapText="1"/>
    </xf>
    <xf numFmtId="169" fontId="15" fillId="6" borderId="0" applyAlignment="1" pivotButton="0" quotePrefix="0" xfId="0">
      <alignment horizontal="center" vertical="center" wrapText="1"/>
    </xf>
    <xf numFmtId="172" fontId="15" fillId="6" borderId="0" applyAlignment="1" pivotButton="0" quotePrefix="0" xfId="0">
      <alignment horizontal="center" vertical="center" wrapText="1"/>
    </xf>
    <xf numFmtId="164" fontId="20" fillId="13" borderId="0" applyAlignment="1" pivotButton="0" quotePrefix="0" xfId="0">
      <alignment horizontal="center" vertical="center" wrapText="1"/>
    </xf>
    <xf numFmtId="164" fontId="21" fillId="14" borderId="0" applyAlignment="1" pivotButton="0" quotePrefix="0" xfId="0">
      <alignment horizontal="center" vertical="center" wrapText="1"/>
    </xf>
    <xf numFmtId="164" fontId="22" fillId="15" borderId="0" applyAlignment="1" pivotButton="0" quotePrefix="0" xfId="0">
      <alignment horizontal="center" vertical="center" wrapText="1"/>
    </xf>
    <xf numFmtId="0" fontId="23" fillId="0" borderId="0"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left" vertical="top" wrapText="1"/>
    </xf>
    <xf numFmtId="0" fontId="0" fillId="0" borderId="0" applyAlignment="1" pivotButton="0" quotePrefix="0" xfId="0">
      <alignment horizontal="left" vertical="top" wrapText="1"/>
    </xf>
    <xf numFmtId="0" fontId="7" fillId="2" borderId="0" applyAlignment="1" pivotButton="0" quotePrefix="0" xfId="0">
      <alignment horizontal="left" vertical="top" wrapText="1"/>
    </xf>
    <xf numFmtId="0" fontId="0" fillId="2" borderId="0" applyAlignment="1" pivotButton="0" quotePrefix="0" xfId="0">
      <alignment horizontal="left" vertical="top" wrapText="1"/>
    </xf>
    <xf numFmtId="0" fontId="8" fillId="3" borderId="1" applyAlignment="1" pivotButton="0" quotePrefix="0" xfId="0">
      <alignment horizontal="center" vertical="center" wrapText="1"/>
    </xf>
    <xf numFmtId="0" fontId="9" fillId="4" borderId="0" applyAlignment="1" pivotButton="0" quotePrefix="0" xfId="0">
      <alignment horizontal="left" vertical="center" wrapText="1"/>
    </xf>
    <xf numFmtId="0" fontId="10" fillId="0" borderId="0" applyAlignment="1" pivotButton="0" quotePrefix="0" xfId="0">
      <alignment horizontal="center" vertical="center" wrapText="1"/>
    </xf>
    <xf numFmtId="0" fontId="6" fillId="0" borderId="0" applyAlignment="1" pivotButton="0" quotePrefix="0" xfId="0">
      <alignment horizontal="left" vertical="center" wrapText="1"/>
    </xf>
    <xf numFmtId="164" fontId="11" fillId="0" borderId="0" applyAlignment="1" pivotButton="0" quotePrefix="0" xfId="0">
      <alignment horizontal="right" vertical="center"/>
    </xf>
    <xf numFmtId="0" fontId="12" fillId="0" borderId="0" applyAlignment="1" pivotButton="0" quotePrefix="0" xfId="0">
      <alignment horizontal="center" vertical="center" wrapText="1"/>
    </xf>
    <xf numFmtId="0" fontId="13" fillId="0" borderId="0" applyAlignment="1" pivotButton="0" quotePrefix="0" xfId="0">
      <alignment horizontal="left" vertical="center" wrapText="1"/>
    </xf>
    <xf numFmtId="165" fontId="11" fillId="5" borderId="0" applyAlignment="1" pivotButton="0" quotePrefix="0" xfId="0">
      <alignment horizontal="right" vertical="center"/>
    </xf>
    <xf numFmtId="166" fontId="11" fillId="0" borderId="0" applyAlignment="1" pivotButton="0" quotePrefix="0" xfId="0">
      <alignment horizontal="right" vertical="center"/>
    </xf>
    <xf numFmtId="165" fontId="11" fillId="0" borderId="0" applyAlignment="1" pivotButton="0" quotePrefix="0" xfId="0">
      <alignment horizontal="right" vertical="center"/>
    </xf>
    <xf numFmtId="167" fontId="11" fillId="0" borderId="0" applyAlignment="1" pivotButton="0" quotePrefix="0" xfId="0">
      <alignment horizontal="right" vertical="center"/>
    </xf>
    <xf numFmtId="164" fontId="11" fillId="5" borderId="0" applyAlignment="1" pivotButton="0" quotePrefix="0" xfId="0">
      <alignment horizontal="right" vertical="center"/>
    </xf>
    <xf numFmtId="166" fontId="11" fillId="5" borderId="0" applyAlignment="1" pivotButton="0" quotePrefix="0" xfId="0">
      <alignment horizontal="right" vertical="center"/>
    </xf>
    <xf numFmtId="168" fontId="11" fillId="0" borderId="0" applyAlignment="1" pivotButton="0" quotePrefix="0" xfId="0">
      <alignment horizontal="right" vertical="center"/>
    </xf>
    <xf numFmtId="168" fontId="11" fillId="5" borderId="0" applyAlignment="1" pivotButton="0" quotePrefix="0" xfId="0">
      <alignment horizontal="right" vertical="center"/>
    </xf>
    <xf numFmtId="169" fontId="11" fillId="5" borderId="0" applyAlignment="1" pivotButton="0" quotePrefix="0" xfId="0">
      <alignment horizontal="right" vertical="center"/>
    </xf>
    <xf numFmtId="169" fontId="11" fillId="0" borderId="0" applyAlignment="1" pivotButton="0" quotePrefix="0" xfId="0">
      <alignment horizontal="right" vertical="center"/>
    </xf>
    <xf numFmtId="0" fontId="6" fillId="0" borderId="0" applyAlignment="1" pivotButton="0" quotePrefix="0" xfId="0">
      <alignment horizontal="general" vertical="bottom"/>
    </xf>
    <xf numFmtId="164" fontId="15" fillId="0" borderId="0" applyAlignment="1" pivotButton="0" quotePrefix="0" xfId="0">
      <alignment horizontal="general" vertical="bottom"/>
    </xf>
    <xf numFmtId="165" fontId="15" fillId="0" borderId="0" applyAlignment="1" pivotButton="0" quotePrefix="0" xfId="0">
      <alignment horizontal="general" vertical="bottom"/>
    </xf>
    <xf numFmtId="0" fontId="16" fillId="0" borderId="0" applyAlignment="1" pivotButton="0" quotePrefix="0" xfId="0">
      <alignment horizontal="center" vertical="center" wrapText="1"/>
    </xf>
    <xf numFmtId="164" fontId="17" fillId="0" borderId="0" applyAlignment="1" pivotButton="0" quotePrefix="0" xfId="0">
      <alignment horizontal="general" vertical="bottom"/>
    </xf>
    <xf numFmtId="170" fontId="17" fillId="0" borderId="0" applyAlignment="1" pivotButton="0" quotePrefix="0" xfId="0">
      <alignment horizontal="general" vertical="bottom"/>
    </xf>
    <xf numFmtId="0" fontId="13" fillId="0" borderId="0" applyAlignment="1" pivotButton="0" quotePrefix="0" xfId="0">
      <alignment horizontal="general" vertical="bottom"/>
    </xf>
    <xf numFmtId="0" fontId="16" fillId="6" borderId="0" applyAlignment="1" pivotButton="0" quotePrefix="0" xfId="0">
      <alignment horizontal="center" vertical="center" wrapText="1"/>
    </xf>
    <xf numFmtId="164" fontId="17" fillId="6" borderId="0" applyAlignment="1" pivotButton="0" quotePrefix="0" xfId="0">
      <alignment horizontal="general" vertical="bottom"/>
    </xf>
    <xf numFmtId="170" fontId="17" fillId="6" borderId="0" applyAlignment="1" pivotButton="0" quotePrefix="0" xfId="0">
      <alignment horizontal="general" vertical="bottom"/>
    </xf>
    <xf numFmtId="0" fontId="13" fillId="6" borderId="0" applyAlignment="1" pivotButton="0" quotePrefix="0" xfId="0">
      <alignment horizontal="general" vertical="bottom"/>
    </xf>
    <xf numFmtId="0" fontId="0" fillId="6" borderId="0" applyAlignment="1" pivotButton="0" quotePrefix="0" xfId="0">
      <alignment horizontal="general" vertical="bottom"/>
    </xf>
    <xf numFmtId="0" fontId="18" fillId="6" borderId="0" applyAlignment="1" pivotButton="0" quotePrefix="0" xfId="0">
      <alignment horizontal="center" vertical="center" wrapText="1"/>
    </xf>
    <xf numFmtId="0" fontId="6" fillId="2"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applyAlignment="1" pivotButton="0" quotePrefix="0" xfId="0">
      <alignment horizontal="left" vertical="center" wrapText="1"/>
    </xf>
    <xf numFmtId="167" fontId="15" fillId="0" borderId="0" applyAlignment="1" pivotButton="0" quotePrefix="0" xfId="0">
      <alignment horizontal="general" vertical="bottom"/>
    </xf>
    <xf numFmtId="0" fontId="13" fillId="0" borderId="0" applyAlignment="1" pivotButton="0" quotePrefix="0" xfId="0">
      <alignment horizontal="right" vertical="center"/>
    </xf>
    <xf numFmtId="166" fontId="15" fillId="0" borderId="0" applyAlignment="1" pivotButton="0" quotePrefix="0" xfId="0">
      <alignment horizontal="general" vertical="bottom"/>
    </xf>
    <xf numFmtId="166" fontId="17" fillId="0" borderId="0" applyAlignment="1" pivotButton="0" quotePrefix="0" xfId="0">
      <alignment horizontal="general" vertical="bottom"/>
    </xf>
    <xf numFmtId="0" fontId="17" fillId="0" borderId="0" applyAlignment="1" pivotButton="0" quotePrefix="0" xfId="0">
      <alignment horizontal="center" vertical="center" wrapText="1"/>
    </xf>
    <xf numFmtId="166" fontId="17" fillId="6" borderId="0" applyAlignment="1" pivotButton="0" quotePrefix="0" xfId="0">
      <alignment horizontal="general" vertical="bottom"/>
    </xf>
    <xf numFmtId="0" fontId="17" fillId="6" borderId="0" applyAlignment="1" pivotButton="0" quotePrefix="0" xfId="0">
      <alignment horizontal="center" vertical="center" wrapText="1"/>
    </xf>
    <xf numFmtId="0" fontId="16" fillId="2" borderId="0" applyAlignment="1" pivotButton="0" quotePrefix="0" xfId="0">
      <alignment horizontal="center" vertical="center" wrapText="1"/>
    </xf>
    <xf numFmtId="0" fontId="16" fillId="2" borderId="0" applyAlignment="1" pivotButton="0" quotePrefix="0" xfId="0">
      <alignment horizontal="general" vertical="bottom"/>
    </xf>
    <xf numFmtId="166" fontId="16" fillId="2" borderId="0" applyAlignment="1" pivotButton="0" quotePrefix="0" xfId="0">
      <alignment horizontal="general" vertical="bottom"/>
    </xf>
    <xf numFmtId="170" fontId="16" fillId="2" borderId="0" applyAlignment="1" pivotButton="0" quotePrefix="0" xfId="0">
      <alignment horizontal="general" vertical="bottom"/>
    </xf>
    <xf numFmtId="0" fontId="0" fillId="0" borderId="0" applyAlignment="1" pivotButton="0" quotePrefix="0" xfId="0">
      <alignment horizontal="center" vertical="center" wrapText="1"/>
    </xf>
    <xf numFmtId="0" fontId="0" fillId="6" borderId="0" applyAlignment="1" pivotButton="0" quotePrefix="0" xfId="0">
      <alignment horizontal="center" vertical="center" wrapText="1"/>
    </xf>
    <xf numFmtId="164" fontId="15" fillId="6" borderId="0" applyAlignment="1" pivotButton="0" quotePrefix="0" xfId="0">
      <alignment horizontal="general" vertical="bottom"/>
    </xf>
    <xf numFmtId="166" fontId="17" fillId="2" borderId="0" applyAlignment="1" pivotButton="0" quotePrefix="0" xfId="0">
      <alignment horizontal="general" vertical="bottom"/>
    </xf>
    <xf numFmtId="164" fontId="17" fillId="2" borderId="0" applyAlignment="1" pivotButton="0" quotePrefix="0" xfId="0">
      <alignment horizontal="general" vertical="bottom"/>
    </xf>
    <xf numFmtId="166" fontId="15" fillId="6" borderId="0" applyAlignment="1" pivotButton="0" quotePrefix="0" xfId="0">
      <alignment horizontal="general" vertical="bottom"/>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8" fillId="3" borderId="0" applyAlignment="1" pivotButton="0" quotePrefix="0" xfId="0">
      <alignment horizontal="center" vertical="center" wrapText="1"/>
    </xf>
    <xf numFmtId="0" fontId="6" fillId="6" borderId="0" applyAlignment="1" pivotButton="0" quotePrefix="0" xfId="0">
      <alignment horizontal="left" vertical="center" wrapText="1"/>
    </xf>
    <xf numFmtId="168" fontId="15" fillId="0" borderId="0" applyAlignment="1" pivotButton="0" quotePrefix="0" xfId="0">
      <alignment horizontal="general" vertical="bottom"/>
    </xf>
    <xf numFmtId="168" fontId="15" fillId="6" borderId="0" applyAlignment="1" pivotButton="0" quotePrefix="0" xfId="0">
      <alignment horizontal="general" vertical="bottom"/>
    </xf>
    <xf numFmtId="171" fontId="17" fillId="6" borderId="0" applyAlignment="1" pivotButton="0" quotePrefix="0" xfId="0">
      <alignment horizontal="general" vertical="bottom"/>
    </xf>
    <xf numFmtId="0" fontId="18" fillId="0" borderId="0" applyAlignment="1" pivotButton="0" quotePrefix="0" xfId="0">
      <alignment horizontal="center" vertical="center" wrapText="1"/>
    </xf>
    <xf numFmtId="171" fontId="17" fillId="0" borderId="0" applyAlignment="1" pivotButton="0" quotePrefix="0" xfId="0">
      <alignment horizontal="general" vertical="bottom"/>
    </xf>
    <xf numFmtId="168" fontId="17" fillId="2" borderId="0" applyAlignment="1" pivotButton="0" quotePrefix="0" xfId="0">
      <alignment horizontal="general" vertical="bottom"/>
    </xf>
    <xf numFmtId="0" fontId="8" fillId="7" borderId="0" applyAlignment="1" pivotButton="0" quotePrefix="0" xfId="0">
      <alignment horizontal="left" vertical="center" wrapText="1"/>
    </xf>
    <xf numFmtId="0" fontId="6" fillId="8" borderId="0" applyAlignment="1" pivotButton="0" quotePrefix="0" xfId="0">
      <alignment horizontal="left" vertical="center" wrapText="1"/>
    </xf>
    <xf numFmtId="164" fontId="17" fillId="8" borderId="0" applyAlignment="1" pivotButton="0" quotePrefix="0" xfId="0">
      <alignment horizontal="general" vertical="bottom"/>
    </xf>
    <xf numFmtId="164" fontId="16" fillId="8" borderId="0" applyAlignment="1" pivotButton="0" quotePrefix="0" xfId="0">
      <alignment horizontal="general" vertical="bottom"/>
    </xf>
    <xf numFmtId="169" fontId="17" fillId="8" borderId="0" applyAlignment="1" pivotButton="0" quotePrefix="0" xfId="0">
      <alignment horizontal="general" vertical="bottom"/>
    </xf>
    <xf numFmtId="169" fontId="16" fillId="8" borderId="0" applyAlignment="1" pivotButton="0" quotePrefix="0" xfId="0">
      <alignment horizontal="general" vertical="bottom"/>
    </xf>
    <xf numFmtId="0" fontId="8" fillId="9" borderId="0" applyAlignment="1" pivotButton="0" quotePrefix="0" xfId="0">
      <alignment horizontal="left" vertical="center" wrapText="1"/>
    </xf>
    <xf numFmtId="0" fontId="6" fillId="10" borderId="0" applyAlignment="1" pivotButton="0" quotePrefix="0" xfId="0">
      <alignment horizontal="left" vertical="center" wrapText="1"/>
    </xf>
    <xf numFmtId="164" fontId="17" fillId="10" borderId="0" applyAlignment="1" pivotButton="0" quotePrefix="0" xfId="0">
      <alignment horizontal="general" vertical="bottom"/>
    </xf>
    <xf numFmtId="164" fontId="16" fillId="10" borderId="0" applyAlignment="1" pivotButton="0" quotePrefix="0" xfId="0">
      <alignment horizontal="general" vertical="bottom"/>
    </xf>
    <xf numFmtId="169" fontId="17" fillId="10" borderId="0" applyAlignment="1" pivotButton="0" quotePrefix="0" xfId="0">
      <alignment horizontal="general" vertical="bottom"/>
    </xf>
    <xf numFmtId="169" fontId="16" fillId="10" borderId="0" applyAlignment="1" pivotButton="0" quotePrefix="0" xfId="0">
      <alignment horizontal="general" vertical="bottom"/>
    </xf>
    <xf numFmtId="0" fontId="8" fillId="11" borderId="0" applyAlignment="1" pivotButton="0" quotePrefix="0" xfId="0">
      <alignment horizontal="left" vertical="center" wrapText="1"/>
    </xf>
    <xf numFmtId="0" fontId="6" fillId="12" borderId="0" applyAlignment="1" pivotButton="0" quotePrefix="0" xfId="0">
      <alignment horizontal="left" vertical="center" wrapText="1"/>
    </xf>
    <xf numFmtId="164" fontId="17" fillId="12" borderId="0" applyAlignment="1" pivotButton="0" quotePrefix="0" xfId="0">
      <alignment horizontal="general" vertical="bottom"/>
    </xf>
    <xf numFmtId="164" fontId="16" fillId="12" borderId="0" applyAlignment="1" pivotButton="0" quotePrefix="0" xfId="0">
      <alignment horizontal="general" vertical="bottom"/>
    </xf>
    <xf numFmtId="169" fontId="17" fillId="12" borderId="0" applyAlignment="1" pivotButton="0" quotePrefix="0" xfId="0">
      <alignment horizontal="general" vertical="bottom"/>
    </xf>
    <xf numFmtId="169" fontId="16" fillId="12" borderId="0" applyAlignment="1" pivotButton="0" quotePrefix="0" xfId="0">
      <alignment horizontal="general" vertical="bottom"/>
    </xf>
    <xf numFmtId="169" fontId="17" fillId="0" borderId="0" applyAlignment="1" pivotButton="0" quotePrefix="0" xfId="0">
      <alignment horizontal="general" vertical="bottom"/>
    </xf>
    <xf numFmtId="169" fontId="15" fillId="0" borderId="0" applyAlignment="1" pivotButton="0" quotePrefix="0" xfId="0">
      <alignment horizontal="general" vertical="bottom"/>
    </xf>
    <xf numFmtId="169" fontId="15" fillId="8" borderId="0" applyAlignment="1" pivotButton="0" quotePrefix="0" xfId="0">
      <alignment horizontal="general" vertical="bottom"/>
    </xf>
    <xf numFmtId="169" fontId="15" fillId="10" borderId="0" applyAlignment="1" pivotButton="0" quotePrefix="0" xfId="0">
      <alignment horizontal="general" vertical="bottom"/>
    </xf>
    <xf numFmtId="169" fontId="15" fillId="12" borderId="0" applyAlignment="1" pivotButton="0" quotePrefix="0" xfId="0">
      <alignment horizontal="general" vertical="bottom"/>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164" fontId="15" fillId="0" borderId="0" applyAlignment="1" pivotButton="0" quotePrefix="0" xfId="0">
      <alignment horizontal="right" vertical="center"/>
    </xf>
    <xf numFmtId="0" fontId="17" fillId="0" borderId="0" applyAlignment="1" pivotButton="0" quotePrefix="0" xfId="0">
      <alignment horizontal="right" vertical="center"/>
    </xf>
    <xf numFmtId="168" fontId="8" fillId="3" borderId="1" applyAlignment="1" pivotButton="0" quotePrefix="0" xfId="0">
      <alignment horizontal="center" vertical="center" wrapText="1"/>
    </xf>
    <xf numFmtId="167" fontId="6" fillId="6" borderId="0" applyAlignment="1" pivotButton="0" quotePrefix="0" xfId="0">
      <alignment horizontal="center" vertical="center" wrapText="1"/>
    </xf>
    <xf numFmtId="169" fontId="17" fillId="6" borderId="0" applyAlignment="1" pivotButton="0" quotePrefix="0" xfId="0">
      <alignment horizontal="general" vertical="bottom"/>
    </xf>
    <xf numFmtId="167" fontId="6" fillId="0" borderId="0" applyAlignment="1" pivotButton="0" quotePrefix="0" xfId="0">
      <alignment horizontal="center" vertical="center" wrapText="1"/>
    </xf>
    <xf numFmtId="169" fontId="17" fillId="2" borderId="0" applyAlignment="1" pivotButton="0" quotePrefix="0" xfId="0">
      <alignment horizontal="general" vertical="bottom"/>
    </xf>
    <xf numFmtId="0" fontId="10" fillId="6" borderId="0" applyAlignment="1" pivotButton="0" quotePrefix="0" xfId="0">
      <alignment horizontal="center" vertical="center" wrapText="1"/>
    </xf>
    <xf numFmtId="0" fontId="19" fillId="6" borderId="0" applyAlignment="1" pivotButton="0" quotePrefix="0" xfId="0">
      <alignment horizontal="center" vertical="center" wrapText="1"/>
    </xf>
    <xf numFmtId="0" fontId="15" fillId="6" borderId="0" applyAlignment="1" pivotButton="0" quotePrefix="0" xfId="0">
      <alignment horizontal="center" vertical="center" wrapText="1"/>
    </xf>
    <xf numFmtId="0" fontId="13" fillId="6" borderId="0" applyAlignment="1" pivotButton="0" quotePrefix="0" xfId="0">
      <alignment horizontal="left" vertical="center" wrapText="1"/>
    </xf>
    <xf numFmtId="0" fontId="19" fillId="0" borderId="0" applyAlignment="1" pivotButton="0" quotePrefix="0" xfId="0">
      <alignment horizontal="center" vertical="center" wrapText="1"/>
    </xf>
    <xf numFmtId="0" fontId="15" fillId="0" borderId="0" applyAlignment="1" pivotButton="0" quotePrefix="0" xfId="0">
      <alignment horizontal="center" vertical="center" wrapText="1"/>
    </xf>
    <xf numFmtId="166" fontId="15" fillId="0" borderId="0" applyAlignment="1" pivotButton="0" quotePrefix="0" xfId="0">
      <alignment horizontal="center" vertical="center" wrapText="1"/>
    </xf>
    <xf numFmtId="164" fontId="15" fillId="6" borderId="0" applyAlignment="1" pivotButton="0" quotePrefix="0" xfId="0">
      <alignment horizontal="center" vertical="center" wrapText="1"/>
    </xf>
    <xf numFmtId="172" fontId="15" fillId="0" borderId="0" applyAlignment="1" pivotButton="0" quotePrefix="0" xfId="0">
      <alignment horizontal="center" vertical="center" wrapText="1"/>
    </xf>
    <xf numFmtId="164" fontId="15" fillId="0" borderId="0" applyAlignment="1" pivotButton="0" quotePrefix="0" xfId="0">
      <alignment horizontal="center" vertical="center" wrapText="1"/>
    </xf>
    <xf numFmtId="168" fontId="15" fillId="6" borderId="0" applyAlignment="1" pivotButton="0" quotePrefix="0" xfId="0">
      <alignment horizontal="center" vertical="center" wrapText="1"/>
    </xf>
    <xf numFmtId="173" fontId="15" fillId="0" borderId="0" applyAlignment="1" pivotButton="0" quotePrefix="0" xfId="0">
      <alignment horizontal="center" vertical="center" wrapText="1"/>
    </xf>
    <xf numFmtId="169" fontId="15" fillId="6" borderId="0" applyAlignment="1" pivotButton="0" quotePrefix="0" xfId="0">
      <alignment horizontal="center" vertical="center" wrapText="1"/>
    </xf>
    <xf numFmtId="172" fontId="15" fillId="6" borderId="0" applyAlignment="1" pivotButton="0" quotePrefix="0" xfId="0">
      <alignment horizontal="center" vertical="center" wrapText="1"/>
    </xf>
    <xf numFmtId="164" fontId="20" fillId="13" borderId="0" applyAlignment="1" pivotButton="0" quotePrefix="0" xfId="0">
      <alignment horizontal="center" vertical="center" wrapText="1"/>
    </xf>
    <xf numFmtId="164" fontId="21" fillId="14" borderId="0" applyAlignment="1" pivotButton="0" quotePrefix="0" xfId="0">
      <alignment horizontal="center" vertical="center" wrapText="1"/>
    </xf>
    <xf numFmtId="164" fontId="22" fillId="15" borderId="0" applyAlignment="1" pivotButton="0" quotePrefix="0" xfId="0">
      <alignment horizontal="center" vertical="center" wrapText="1"/>
    </xf>
    <xf numFmtId="0" fontId="23" fillId="0"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2E6B3B"/>
      <rgbColor rgb="FFCCCCCC"/>
      <rgbColor rgb="FF888888"/>
      <rgbColor rgb="FF9999FF"/>
      <rgbColor rgb="FF8B3A3A"/>
      <rgbColor rgb="FFFAF1D6"/>
      <rgbColor rgb="FFDEEEDF"/>
      <rgbColor rgb="FF660066"/>
      <rgbColor rgb="FFFF8080"/>
      <rgbColor rgb="FF0066CC"/>
      <rgbColor rgb="FFF5E0E0"/>
      <rgbColor rgb="FF000080"/>
      <rgbColor rgb="FFFF00FF"/>
      <rgbColor rgb="FFFFFF00"/>
      <rgbColor rgb="FF00FFFF"/>
      <rgbColor rgb="FF800080"/>
      <rgbColor rgb="FF800000"/>
      <rgbColor rgb="FF008080"/>
      <rgbColor rgb="FF0000FF"/>
      <rgbColor rgb="FF00CCFF"/>
      <rgbColor rgb="FFEEF0F4"/>
      <rgbColor rgb="FFC6EFCE"/>
      <rgbColor rgb="FFFFEB9C"/>
      <rgbColor rgb="FFF7F7F7"/>
      <rgbColor rgb="FFFF99CC"/>
      <rgbColor rgb="FFCC99FF"/>
      <rgbColor rgb="FFFFC7CE"/>
      <rgbColor rgb="FF3366FF"/>
      <rgbColor rgb="FF33CCCC"/>
      <rgbColor rgb="FF99CC00"/>
      <rgbColor rgb="FFFFCC00"/>
      <rgbColor rgb="FFC29F1A"/>
      <rgbColor rgb="FFFF6600"/>
      <rgbColor rgb="FF666666"/>
      <rgbColor rgb="FF969696"/>
      <rgbColor rgb="FF003366"/>
      <rgbColor rgb="FF339966"/>
      <rgbColor rgb="FF006100"/>
      <rgbColor rgb="FF555555"/>
      <rgbColor rgb="FF9C5700"/>
      <rgbColor rgb="FF993366"/>
      <rgbColor rgb="FF2E4172"/>
      <rgbColor rgb="FF1F2A44"/>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Unknown Author</author>
  </authors>
  <commentList>
    <comment ref="C17" authorId="0" shapeId="0">
      <text>
        <t>Adjusted in v0.5.1 combat rebalance: was 0.07, now 0.1.</t>
      </text>
    </comment>
    <comment ref="C26" authorId="0" shapeId="0">
      <text>
        <t>Adjusted in v0.5.1 combat rebalance: was 0.12, now 0.09.</t>
      </text>
    </comment>
    <comment ref="C54" authorId="0" shapeId="0">
      <text>
        <t>Adjusted in v0.5.1 combat rebalance: was 3.5, now 5.0.</t>
      </text>
    </comment>
    <comment ref="C82" authorId="0" shapeId="0">
      <text>
        <t>Adjusted in v0.3.1 cleanup: was 100, now 6. See README v0.3.1 note.</t>
      </text>
    </comment>
    <comment ref="C84" authorId="0" shapeId="0">
      <text>
        <t>Adjusted in v0.3.1 cleanup: was 600, now 40. See README v0.3.1 note.</t>
      </text>
    </comment>
    <comment ref="C87" authorId="0" shapeId="0">
      <text>
        <t>Adjusted in v0.3.1 cleanup: was 300, now 20. See README v0.3.1 note.</t>
      </text>
    </comment>
    <comment ref="C92" authorId="0" shapeId="0">
      <text>
        <t>Starting DAU month 1 — pessimistic scenario.</t>
      </text>
    </comment>
    <comment ref="C93" authorId="0" shapeId="0">
      <text>
        <t>DAU month-over-month growth — pessimistic. 5%/mo.</t>
      </text>
    </comment>
    <comment ref="C94" authorId="0" shapeId="0">
      <text>
        <t>Free-to-paying conversion — pessimistic. 2%.</t>
      </text>
    </comment>
    <comment ref="C95" authorId="0" shapeId="0">
      <text>
        <t>Average revenue per paying user (monthly) — pessimistic. $8.</t>
      </text>
    </comment>
    <comment ref="C96" authorId="0" shapeId="0">
      <text>
        <t>Starting DAU month 1 — conservative.</t>
      </text>
    </comment>
    <comment ref="C97" authorId="0" shapeId="0">
      <text>
        <t>DAU growth — conservative. 10%/mo.</t>
      </text>
    </comment>
    <comment ref="C98" authorId="0" shapeId="0">
      <text>
        <t>Conversion — conservative. 4% (industry benchmark).</t>
      </text>
    </comment>
    <comment ref="C99" authorId="0" shapeId="0">
      <text>
        <t>ARPPU — conservative. $12.</t>
      </text>
    </comment>
    <comment ref="C100" authorId="0" shapeId="0">
      <text>
        <t>Starting DAU month 1 — target.</t>
      </text>
    </comment>
    <comment ref="C101" authorId="0" shapeId="0">
      <text>
        <t>DAU growth — target. 18%/mo.</t>
      </text>
    </comment>
    <comment ref="C102" authorId="0" shapeId="0">
      <text>
        <t>Conversion — target. 6% (top-quartile mobile RPG).</t>
      </text>
    </comment>
    <comment ref="C103" authorId="0" shapeId="0">
      <text>
        <t>ARPPU — target. $15.
Adjusted in v1.0: was $15.00, now $18.00. Calibrated against industry mid-to-upper quartile for mobile RPG with a Pass SKU. Resolves the M12 net profit and 12-mo ROI WARNs.</t>
      </text>
    </comment>
    <comment ref="C104" authorId="0" shapeId="0">
      <text>
        <t>Apple/Google platform fee. 30% standard.</t>
      </text>
    </comment>
    <comment ref="C107" authorId="0" shapeId="0">
      <text>
        <t>Firebase blended cost per DAU per month. Mid-range mobile-RPG benchmark.</t>
      </text>
    </comment>
    <comment ref="C108" authorId="0" shapeId="0">
      <text>
        <t>Monthly dev burn (salaries, contractors, art). Flat across scenarios.</t>
      </text>
    </comment>
    <comment ref="C109" authorId="0" shapeId="0">
      <text>
        <t>User acquisition spend — pessimistic (defensive marketing).</t>
      </text>
    </comment>
    <comment ref="C110" authorId="0" shapeId="0">
      <text>
        <t>UA spend — conservative.</t>
      </text>
    </comment>
    <comment ref="C111" authorId="0" shapeId="0">
      <text>
        <t>UA spend — target (aggressive growth investment).</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B5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0" min="1" max="1"/>
    <col width="90" customWidth="1" style="120" min="2" max="2"/>
  </cols>
  <sheetData>
    <row r="1" ht="19.5" customHeight="1" s="121">
      <c r="A1" s="122" t="inlineStr">
        <is>
          <t>STRAND — Economy Design Spreadsheet</t>
        </is>
      </c>
    </row>
    <row r="2" ht="15" customHeight="1" s="121">
      <c r="A2" s="123" t="inlineStr">
        <is>
          <t>Version 1.1 (FINAL — campaign structure corrected to 20 floors / 4 Zones × 5 per GDD §6)</t>
        </is>
      </c>
    </row>
    <row r="3" ht="15" customHeight="1" s="121">
      <c r="A3" s="123" t="inlineStr">
        <is>
          <t>Owner: Tudor Grigoriu / Empathy Software   |   Last updated: May 2026</t>
        </is>
      </c>
    </row>
    <row r="4" ht="15" customHeight="1" s="121">
      <c r="A4" s="124" t="n"/>
      <c r="B4" s="125" t="n"/>
    </row>
    <row r="5" ht="15" customHeight="1" s="121">
      <c r="A5" s="126" t="inlineStr">
        <is>
          <t>PURPOSE</t>
        </is>
      </c>
      <c r="B5" s="127" t="n"/>
    </row>
    <row r="6" ht="41.25" customHeight="1" s="121">
      <c r="A6" s="124" t="n"/>
      <c r="B6" s="125" t="inlineStr">
        <is>
          <t>This workbook is the binding numeric source of truth for STRAND's economy. All gameplay code, balance tuning, and revenue forecasting must read its outputs. When the GDD prose conflicts with this sheet, this sheet wins on numbers.</t>
        </is>
      </c>
    </row>
    <row r="7" ht="15" customHeight="1" s="121">
      <c r="A7" s="124" t="n"/>
      <c r="B7" s="125" t="n"/>
    </row>
    <row r="8" ht="15" customHeight="1" s="121">
      <c r="A8" s="126" t="inlineStr">
        <is>
          <t>HOW TO USE</t>
        </is>
      </c>
      <c r="B8" s="127" t="n"/>
    </row>
    <row r="9" ht="27.75" customHeight="1" s="121">
      <c r="A9" s="124" t="inlineStr">
        <is>
          <t>Step 1</t>
        </is>
      </c>
      <c r="B9" s="125" t="inlineStr">
        <is>
          <t>Only ever edit BLUE cells. They live on the Assumptions tab (and a few input columns elsewhere). Everything else is a formula and will recalculate.</t>
        </is>
      </c>
    </row>
    <row r="10" ht="27.75" customHeight="1" s="121">
      <c r="A10" s="124" t="inlineStr">
        <is>
          <t>Step 2</t>
        </is>
      </c>
      <c r="B10" s="125" t="inlineStr">
        <is>
          <t>If a downstream sheet shows a hash-DIV-0 or hash-REF error, do not patch the symptom — open Validation Checks (sheet 14, batch 5) and find the broken upstream input.</t>
        </is>
      </c>
    </row>
    <row r="11" ht="27.75" customHeight="1" s="121">
      <c r="A11" s="124" t="inlineStr">
        <is>
          <t>Step 3</t>
        </is>
      </c>
      <c r="B11" s="125" t="inlineStr">
        <is>
          <t>Use the three DAU scenarios on the Revenue tab (batch 4) to test sensitivity. Never change a formula to make the answer prettier.</t>
        </is>
      </c>
    </row>
    <row r="12" ht="15" customHeight="1" s="121">
      <c r="A12" s="124" t="inlineStr">
        <is>
          <t>Step 4</t>
        </is>
      </c>
      <c r="B12" s="125" t="inlineStr">
        <is>
          <t>Bump the version on this README every time you commit a change to Drive.</t>
        </is>
      </c>
    </row>
    <row r="13" ht="15" customHeight="1" s="121">
      <c r="A13" s="124" t="n"/>
      <c r="B13" s="125" t="n"/>
    </row>
    <row r="14" ht="26.25" customHeight="1" s="121">
      <c r="A14" s="126" t="inlineStr">
        <is>
          <t>COLOR CONVENTIONS</t>
        </is>
      </c>
      <c r="B14" s="127" t="n"/>
    </row>
    <row r="15" ht="15" customHeight="1" s="121">
      <c r="A15" s="124" t="inlineStr">
        <is>
          <t>Blue text</t>
        </is>
      </c>
      <c r="B15" s="125" t="inlineStr">
        <is>
          <t>Hardcoded input. Editable. Lives on Assumptions tab (and clearly-marked input columns elsewhere).</t>
        </is>
      </c>
    </row>
    <row r="16" ht="15" customHeight="1" s="121">
      <c r="A16" s="124" t="inlineStr">
        <is>
          <t>Black text</t>
        </is>
      </c>
      <c r="B16" s="125" t="inlineStr">
        <is>
          <t>Formula referencing cells on the SAME sheet. Do not overwrite.</t>
        </is>
      </c>
    </row>
    <row r="17" ht="15" customHeight="1" s="121">
      <c r="A17" s="124" t="inlineStr">
        <is>
          <t>Green text</t>
        </is>
      </c>
      <c r="B17" s="125" t="inlineStr">
        <is>
          <t>Formula pulling from ANOTHER sheet in this workbook. Do not overwrite.</t>
        </is>
      </c>
    </row>
    <row r="18" ht="15" customHeight="1" s="121">
      <c r="A18" s="124" t="inlineStr">
        <is>
          <t>Red text</t>
        </is>
      </c>
      <c r="B18" s="125" t="inlineStr">
        <is>
          <t>External link to a file outside this workbook. Should not exist in v0.1.</t>
        </is>
      </c>
    </row>
    <row r="19" ht="15" customHeight="1" s="121">
      <c r="A19" s="124" t="inlineStr">
        <is>
          <t>Yellow fill</t>
        </is>
      </c>
      <c r="B19" s="125" t="inlineStr">
        <is>
          <t>Key assumption needing director attention before lock.</t>
        </is>
      </c>
    </row>
    <row r="20" ht="15" customHeight="1" s="121">
      <c r="A20" s="124" t="n"/>
      <c r="B20" s="125" t="n"/>
    </row>
    <row r="21" ht="15" customHeight="1" s="121">
      <c r="A21" s="126" t="inlineStr">
        <is>
          <t>BATCH STRUCTURE</t>
        </is>
      </c>
      <c r="B21" s="127" t="n"/>
    </row>
    <row r="22" ht="15" customHeight="1" s="121">
      <c r="A22" s="124" t="inlineStr">
        <is>
          <t>Batch 1 (this)</t>
        </is>
      </c>
      <c r="B22" s="125" t="inlineStr">
        <is>
          <t>Foundation: README, Assumptions, Player Stats Curve, XP &amp; Level Curve, Drop Rates.</t>
        </is>
      </c>
    </row>
    <row r="23" ht="15" customHeight="1" s="121">
      <c r="A23" s="124" t="inlineStr">
        <is>
          <t>Batch 2</t>
        </is>
      </c>
      <c r="B23" s="125" t="inlineStr">
        <is>
          <t>World &amp; Pacing: Enemy Stats, Currencies, Run Pacing.</t>
        </is>
      </c>
    </row>
    <row r="24" ht="15" customHeight="1" s="121">
      <c r="A24" s="124" t="inlineStr">
        <is>
          <t>Batch 3</t>
        </is>
      </c>
      <c r="B24" s="125" t="inlineStr">
        <is>
          <t>Economy surfaces: Mutation Costs, IAP Catalog.</t>
        </is>
      </c>
    </row>
    <row r="25" ht="15" customHeight="1" s="121">
      <c r="A25" s="124" t="inlineStr">
        <is>
          <t>Batch 4</t>
        </is>
      </c>
      <c r="B25" s="125" t="inlineStr">
        <is>
          <t>Business model: DAU &amp; Revenue Model, Cost Projection.</t>
        </is>
      </c>
    </row>
    <row r="26" ht="15" customHeight="1" s="121">
      <c r="A26" s="124" t="inlineStr">
        <is>
          <t>Batch 5</t>
        </is>
      </c>
      <c r="B26" s="125" t="inlineStr">
        <is>
          <t>Validation: Pass Sensitivity, Validation Checks.</t>
        </is>
      </c>
    </row>
    <row r="27" ht="15" customHeight="1" s="121">
      <c r="A27" s="124" t="n"/>
      <c r="B27" s="125" t="n"/>
    </row>
    <row r="28" ht="15" customHeight="1" s="121">
      <c r="A28" s="126" t="inlineStr">
        <is>
          <t>DEPENDENCIES</t>
        </is>
      </c>
      <c r="B28" s="127" t="n"/>
    </row>
    <row r="29" ht="15" customHeight="1" s="121">
      <c r="A29" s="124" t="n"/>
      <c r="B29" s="125" t="inlineStr">
        <is>
          <t>Assumptions ← (foundation)</t>
        </is>
      </c>
    </row>
    <row r="30" ht="15" customHeight="1" s="121">
      <c r="A30" s="124" t="n"/>
      <c r="B30" s="125" t="inlineStr">
        <is>
          <t>Player Stats Curve, XP &amp; Level Curve, Drop Rates ← Assumptions</t>
        </is>
      </c>
    </row>
    <row r="31" ht="15" customHeight="1" s="121">
      <c r="A31" s="124" t="n"/>
      <c r="B31" s="125" t="inlineStr">
        <is>
          <t>Enemy Stats ← Player Stats; Currencies ← Drop Rates; Run Pacing ← Player + Enemy</t>
        </is>
      </c>
    </row>
    <row r="32" ht="15" customHeight="1" s="121">
      <c r="A32" s="124" t="n"/>
      <c r="B32" s="125" t="inlineStr">
        <is>
          <t>Mutation Costs, IAP Catalog ← Currencies</t>
        </is>
      </c>
    </row>
    <row r="33" ht="15" customHeight="1" s="121">
      <c r="A33" s="124" t="n"/>
      <c r="B33" s="125" t="inlineStr">
        <is>
          <t>DAU &amp; Revenue ← IAP Catalog; Cost Projection ← DAU</t>
        </is>
      </c>
    </row>
    <row r="34" ht="15" customHeight="1" s="121">
      <c r="A34" s="124" t="n"/>
      <c r="B34" s="125" t="inlineStr">
        <is>
          <t>Pass Sensitivity ← DAU + IAP; Validation Checks ← everything</t>
        </is>
      </c>
    </row>
    <row r="35" ht="15" customHeight="1" s="121">
      <c r="A35" s="124" t="n"/>
      <c r="B35" s="125" t="n"/>
    </row>
    <row r="36" ht="26.25" customHeight="1" s="121">
      <c r="A36" s="126" t="inlineStr">
        <is>
          <t>OPEN QUESTIONS (BATCH 1)</t>
        </is>
      </c>
      <c r="B36" s="127" t="n"/>
    </row>
    <row r="37" ht="15" customHeight="1" s="121">
      <c r="A37" s="124" t="inlineStr">
        <is>
          <t>Q1</t>
        </is>
      </c>
      <c r="B37" s="125" t="inlineStr">
        <is>
          <t>Floor count: 20 floors / 4 Zones × 5 floors, bosses at 5/10/15/20. Locked per GDD §6 &amp; Concept One-Pager. (v1.0 inherited a superseded 30-floor draft; corrected in v1.1.)</t>
        </is>
      </c>
    </row>
    <row r="38" ht="15" customHeight="1" s="121">
      <c r="A38" s="124" t="inlineStr">
        <is>
          <t>Q2</t>
        </is>
      </c>
      <c r="B38" s="125" t="inlineStr">
        <is>
          <t>Player HP scaling shape: geometric ratio 1.08 — confirm against playtest in prototype.</t>
        </is>
      </c>
    </row>
    <row r="39" ht="15" customHeight="1" s="121">
      <c r="A39" s="124" t="inlineStr">
        <is>
          <t>Q3</t>
        </is>
      </c>
      <c r="B39" s="125" t="inlineStr">
        <is>
          <t>Level cap: 60. Higher than max floor so post-content grind has headroom.</t>
        </is>
      </c>
    </row>
    <row r="40" ht="15" customHeight="1" s="121">
      <c r="A40" s="124" t="inlineStr">
        <is>
          <t>Q4</t>
        </is>
      </c>
      <c r="B40" s="125" t="inlineStr">
        <is>
          <t>VEIN drop rate per common kill: 8 — placeholder. Will be revisited in batch 2 once Currencies tab exists.</t>
        </is>
      </c>
    </row>
    <row r="41" ht="15" customHeight="1" s="121">
      <c r="A41" s="124" t="n"/>
      <c r="B41" s="125" t="n"/>
    </row>
    <row r="42" ht="15" customHeight="1" s="121">
      <c r="A42" s="126" t="inlineStr">
        <is>
          <t>VERSION HISTORY</t>
        </is>
      </c>
      <c r="B42" s="127" t="n"/>
    </row>
    <row r="43" ht="15" customHeight="1" s="121">
      <c r="A43" s="124" t="inlineStr">
        <is>
          <t>v0.1</t>
        </is>
      </c>
      <c r="B43" s="125" t="inlineStr">
        <is>
          <t>Batch 1 — May 2026 — Foundation layer (5 sheets). Pending batches 2–5.</t>
        </is>
      </c>
    </row>
    <row r="44" ht="27.75" customHeight="1" s="121">
      <c r="A44" s="124" t="inlineStr">
        <is>
          <t>v0.2</t>
        </is>
      </c>
      <c r="B44" s="125" t="inlineStr">
        <is>
          <t>Batch 2 — May 2026 — Added Enemy Stats, Currencies, Run Pacing. Added 2 new assumptions: shard_per_vein_conversion, vein_per_floor_clear_bonus.</t>
        </is>
      </c>
    </row>
    <row r="45" ht="81.75" customHeight="1" s="121">
      <c r="A45" s="124" t="inlineStr">
        <is>
          <t>v0.2.1</t>
        </is>
      </c>
      <c r="B45" s="125" t="inlineStr">
        <is>
          <t>Cleanup: extracted combat timing (6s/turn, 30s nav, 15s reward) to Assumptions. Replaced hardcoded boss flags (0*/1*) in Currencies VEIN/SIG with MOD-based formulas that react to boss_every_n_floors. Unified Run Pacing combat formula across boss and non-boss floors. Re-colored cross-sheet refs green where they had been black. Note: Enemy Stats row layout and Run Pacing column F still encode boss_every_n_floors=6 at workbook generation time; changing that assumption requires regenerating the workbook from script, not just a recalc.</t>
        </is>
      </c>
    </row>
    <row r="46" ht="41.25" customHeight="1" s="121">
      <c r="A46" s="124" t="inlineStr">
        <is>
          <t>v0.3</t>
        </is>
      </c>
      <c r="B46" s="125" t="inlineStr">
        <is>
          <t>Batch 3 — May 2026 — Added Mutation Costs (cost matrix by rarity × level, with balance check against SIG-earned-per-run) and IAP Catalog (6 SKUs with USD prices, currency grants, time-saved per dollar, and value ratings). Added 22 new assumptions for mutation costs (7) and IAP pricing/benchmarks (15).</t>
        </is>
      </c>
    </row>
    <row r="47" ht="68.25" customHeight="1" s="121">
      <c r="A47" s="124" t="inlineStr">
        <is>
          <t>v0.3.1</t>
        </is>
      </c>
      <c r="B47" s="125" t="inlineStr">
        <is>
          <t>Shard IAP rebalance: dropped iap_shard_small_amount (100→6), iap_shard_large_amount (600→40), and iap_pass_shard_grant (300→20). Calibrated against Shard earn rate of 0.08/min so Small Shard pack saves ~74 min (Fair value, entry tier), Large saves ~491 min (Strong, whale tier), and the Pass stays the best deal in the catalog at ~736 min saved for $9.99. VEIN packs unchanged — they were already in the right range (30-46 min per dollar).</t>
        </is>
      </c>
    </row>
    <row r="48" ht="81.75" customHeight="1" s="121">
      <c r="A48" s="124" t="inlineStr">
        <is>
          <t>v0.4</t>
        </is>
      </c>
      <c r="B48" s="125" t="inlineStr">
        <is>
          <t>Batch 4 — May 2026 — Added DAU &amp; Revenue Model (12-month projection across three scenarios: Pessimistic, Conservative, Target) and Cost Projection (Firebase scaling with DAU + flat dev burn + per-scenario UA spend, closing the loop with net profit and breakeven analysis). Added 18 new assumptions: per-scenario DAU/growth/conversion/ARPPU (12), platform cut (1), Firebase rate (1), dev burn (1), UA spend per scenario (3). Out of scope for v0.4: cohort retention curves, CAC vs LTV modeling, tax/VAT, regional pricing. Those belong in a separate financial model.</t>
        </is>
      </c>
    </row>
    <row r="49" ht="68.25" customHeight="1" s="121">
      <c r="A49" s="124" t="inlineStr">
        <is>
          <t>v0.5</t>
        </is>
      </c>
      <c r="B49" s="125" t="inlineStr">
        <is>
          <t>Batch 5 — May 2026 — Added Pass Sensitivity (2D matrix: attach rate × price → monthly Pass revenue, with conditional-formatted heat map) and Validation Checks (18 automated sanity checks across structure / balance / economy / monetization / business model / scenario consistency, with PASS/WARN/FAIL status, overall verdict cell, and color-coded conditional formatting). The model is now complete. Use Validation Checks as the canary on every Assumptions change.</t>
        </is>
      </c>
    </row>
    <row r="50" ht="68.25" customHeight="1" s="121">
      <c r="A50" s="124" t="inlineStr">
        <is>
          <t>v0.5.1</t>
        </is>
      </c>
      <c r="B50" s="125" t="inlineStr">
        <is>
          <t>Combat rebalance to resolve the 3 Validation FAILs: damage_growth_per_floor 7%→10%, enemy_hp_growth 12%→9%, avg_floor_time_min 3.5→5.0. The first two close the player-vs-enemy scaling gap; the third makes the pacing target truthful (we were claiming 3.5 min/floor while the model produced 9.8 — now 5.0 target lines up with 4.8 actual). Full-clear run time drops from 4h 55m to ~2h 24m. Pure assumption change, zero formula edits.</t>
        </is>
      </c>
    </row>
    <row r="51" ht="95.5" customHeight="1" s="121">
      <c r="A51" s="124" t="inlineStr">
        <is>
          <t>v1.0</t>
        </is>
      </c>
      <c r="B51" s="125" t="inlineStr">
        <is>
          <t>FINAL v1.0 — Resolved remaining WARNs. (1) Target ARPPU raised $15 → $18, calibrated against mobile-RPG-with-Pass benchmarks; this turns Target M12 net profit positive (+$3,622) and ROI inside the -50% threshold. (2) Pass validation check rewritten to compare $/min ratios instead of raw minutes saved — the original formula was structurally wrong because larger packs always save more raw minutes regardless of value efficiency. 12-month horizon retained as a deliberate year-1 view; longer-horizon analysis lives in batch 4 inputs that a future v1.1 could extend if needed. Model is locked. 14 sheets, ~2,200 formulas, validation PASS.</t>
        </is>
      </c>
    </row>
    <row r="52">
      <c r="A52" t="inlineStr">
        <is>
          <t>v1.1</t>
        </is>
      </c>
      <c r="B52" t="inlineStr">
        <is>
          <t>Structure correction — 2026-06-08 — Reconciled the workbook to the shipped game: max_floor 30→20, zones_count 5→4, floors_per_zone 6→5, boss_every_n_floors 6→5. Per-floor tables (Player Stats, Drop Rates, Enemy Stats, Currencies, Run Pacing) truncated to 20 floors; Enemy Stats bosses re-tiered to floors 5/10/15/20; all SUM/AVERAGE/MAX ranges and full-run totals updated. Pure structural fix — no balance-curve or pricing assumptions changed. Validation re-run: 20 PASS / 0 WARN / 0 FAIL.</t>
        </is>
      </c>
    </row>
  </sheetData>
  <mergeCells count="3">
    <mergeCell ref="A3:B3"/>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1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20" min="1" max="1"/>
    <col width="38" customWidth="1" style="120" min="2" max="2"/>
    <col width="16" customWidth="1" style="120" min="3" max="3"/>
    <col width="12" customWidth="1" style="120" min="4" max="4"/>
    <col width="50" customWidth="1" style="120" min="5" max="5"/>
  </cols>
  <sheetData>
    <row r="1" ht="19.5" customHeight="1" s="121">
      <c r="A1" s="122" t="inlineStr">
        <is>
          <t>ASSUMPTIONS — Every Input Variable</t>
        </is>
      </c>
    </row>
    <row r="2" ht="15" customHeight="1" s="121">
      <c r="A2" s="123" t="inlineStr">
        <is>
          <t>Edit ONLY the blue cells. Yellow-filled rows require director sign-off before lock.</t>
        </is>
      </c>
    </row>
    <row r="3"/>
    <row r="4" ht="27.75" customHeight="1" s="121">
      <c r="A4" s="128" t="inlineStr">
        <is>
          <t>#</t>
        </is>
      </c>
      <c r="B4" s="128" t="inlineStr">
        <is>
          <t>Variable</t>
        </is>
      </c>
      <c r="C4" s="128" t="inlineStr">
        <is>
          <t>Value</t>
        </is>
      </c>
      <c r="D4" s="128" t="inlineStr">
        <is>
          <t>Unit</t>
        </is>
      </c>
      <c r="E4" s="128" t="inlineStr">
        <is>
          <t>Notes / Source</t>
        </is>
      </c>
    </row>
    <row r="5" ht="21.75" customHeight="1" s="121">
      <c r="A5" s="129" t="inlineStr">
        <is>
          <t>GAME STRUCTURE</t>
        </is>
      </c>
    </row>
    <row r="6" ht="15" customHeight="1" s="121">
      <c r="A6" s="130" t="n">
        <v>1</v>
      </c>
      <c r="B6" s="131" t="inlineStr">
        <is>
          <t>max_floor</t>
        </is>
      </c>
      <c r="C6" s="132" t="n">
        <v>20</v>
      </c>
      <c r="D6" s="133" t="inlineStr">
        <is>
          <t>floor</t>
        </is>
      </c>
      <c r="E6" s="134" t="inlineStr">
        <is>
          <t>20 floors total. Per GDD §6 / Concept One-Pager: 20 floors across 4 Zones of 5.</t>
        </is>
      </c>
    </row>
    <row r="7" ht="15" customHeight="1" s="121">
      <c r="A7" s="130" t="n">
        <v>2</v>
      </c>
      <c r="B7" s="131" t="inlineStr">
        <is>
          <t>level_cap</t>
        </is>
      </c>
      <c r="C7" s="132" t="n">
        <v>60</v>
      </c>
      <c r="D7" s="133" t="inlineStr">
        <is>
          <t>level</t>
        </is>
      </c>
      <c r="E7" s="134" t="inlineStr">
        <is>
          <t>Higher than max floor — gives post-content runway.</t>
        </is>
      </c>
    </row>
    <row r="8" ht="15" customHeight="1" s="121">
      <c r="A8" s="130" t="n">
        <v>3</v>
      </c>
      <c r="B8" s="131" t="inlineStr">
        <is>
          <t>zones_count</t>
        </is>
      </c>
      <c r="C8" s="132" t="n">
        <v>4</v>
      </c>
      <c r="D8" s="133" t="inlineStr">
        <is>
          <t>zones</t>
        </is>
      </c>
      <c r="E8" s="134" t="inlineStr">
        <is>
          <t>Each zone is 5 floors (4 × 5 = 20). Shallows / Mycosphere / Lithic / Convergence.</t>
        </is>
      </c>
    </row>
    <row r="9" ht="15" customHeight="1" s="121">
      <c r="A9" s="130" t="n">
        <v>4</v>
      </c>
      <c r="B9" s="131" t="inlineStr">
        <is>
          <t>floors_per_zone</t>
        </is>
      </c>
      <c r="C9" s="132" t="n">
        <v>5</v>
      </c>
      <c r="D9" s="133" t="inlineStr">
        <is>
          <t>floors</t>
        </is>
      </c>
      <c r="E9" s="134" t="inlineStr">
        <is>
          <t>Check: floors_per_zone × zones_count = max_floor (5 × 4 = 20).</t>
        </is>
      </c>
    </row>
    <row r="10" ht="15" customHeight="1" s="121">
      <c r="A10" s="130" t="n">
        <v>5</v>
      </c>
      <c r="B10" s="131" t="inlineStr">
        <is>
          <t>enemy_tiers</t>
        </is>
      </c>
      <c r="C10" s="132" t="n">
        <v>3</v>
      </c>
      <c r="D10" s="133" t="inlineStr">
        <is>
          <t>tiers</t>
        </is>
      </c>
      <c r="E10" s="134" t="inlineStr">
        <is>
          <t>Common / Elite / Boss per zone.</t>
        </is>
      </c>
    </row>
    <row r="11" ht="21.75" customHeight="1" s="121">
      <c r="A11" s="129" t="inlineStr">
        <is>
          <t>PLAYER PROGRESSION</t>
        </is>
      </c>
    </row>
    <row r="12" ht="15" customHeight="1" s="121">
      <c r="A12" s="130" t="n">
        <v>6</v>
      </c>
      <c r="B12" s="131" t="inlineStr">
        <is>
          <t>hp_base</t>
        </is>
      </c>
      <c r="C12" s="132" t="n">
        <v>100</v>
      </c>
      <c r="D12" s="133" t="inlineStr">
        <is>
          <t>HP</t>
        </is>
      </c>
      <c r="E12" s="134" t="inlineStr">
        <is>
          <t>HP at level 1 / floor 1.</t>
        </is>
      </c>
    </row>
    <row r="13" ht="15" customHeight="1" s="121">
      <c r="A13" s="130" t="n">
        <v>7</v>
      </c>
      <c r="B13" s="131" t="inlineStr">
        <is>
          <t>hp_growth_per_floor</t>
        </is>
      </c>
      <c r="C13" s="135" t="n">
        <v>0.08</v>
      </c>
      <c r="D13" s="133" t="inlineStr">
        <is>
          <t>ratio</t>
        </is>
      </c>
      <c r="E13" s="134" t="inlineStr">
        <is>
          <t>Geometric scaling. 1.08^19 ≈ 4.3x HP at floor 20.</t>
        </is>
      </c>
    </row>
    <row r="14" ht="15" customHeight="1" s="121">
      <c r="A14" s="130" t="n">
        <v>8</v>
      </c>
      <c r="B14" s="131" t="inlineStr">
        <is>
          <t>ap_base</t>
        </is>
      </c>
      <c r="C14" s="132" t="n">
        <v>3</v>
      </c>
      <c r="D14" s="133" t="inlineStr">
        <is>
          <t>AP</t>
        </is>
      </c>
      <c r="E14" s="134" t="inlineStr">
        <is>
          <t>Action points per turn at start.</t>
        </is>
      </c>
    </row>
    <row r="15" ht="15" customHeight="1" s="121">
      <c r="A15" s="130" t="n">
        <v>9</v>
      </c>
      <c r="B15" s="131" t="inlineStr">
        <is>
          <t>ap_floor_bonus_every</t>
        </is>
      </c>
      <c r="C15" s="132" t="n">
        <v>10</v>
      </c>
      <c r="D15" s="133" t="inlineStr">
        <is>
          <t>floors</t>
        </is>
      </c>
      <c r="E15" s="134" t="inlineStr">
        <is>
          <t>+1 AP every N floors. Currently every 10.</t>
        </is>
      </c>
    </row>
    <row r="16" ht="15" customHeight="1" s="121">
      <c r="A16" s="130" t="n">
        <v>10</v>
      </c>
      <c r="B16" s="131" t="inlineStr">
        <is>
          <t>damage_base</t>
        </is>
      </c>
      <c r="C16" s="132" t="n">
        <v>12</v>
      </c>
      <c r="D16" s="133" t="inlineStr">
        <is>
          <t>dmg</t>
        </is>
      </c>
      <c r="E16" s="134" t="inlineStr">
        <is>
          <t>Player base attack damage at floor 1.</t>
        </is>
      </c>
    </row>
    <row r="17" ht="15" customHeight="1" s="121">
      <c r="A17" s="130" t="n">
        <v>11</v>
      </c>
      <c r="B17" s="131" t="inlineStr">
        <is>
          <t>damage_growth_per_floor</t>
        </is>
      </c>
      <c r="C17" s="135" t="n">
        <v>0.1</v>
      </c>
      <c r="D17" s="133" t="inlineStr">
        <is>
          <t>ratio</t>
        </is>
      </c>
      <c r="E17" s="134" t="inlineStr">
        <is>
          <t>Geometric. 1.10^19 ≈ 6.1x player damage at floor 20.</t>
        </is>
      </c>
    </row>
    <row r="18" ht="21.75" customHeight="1" s="121">
      <c r="A18" s="129" t="inlineStr">
        <is>
          <t>XP &amp; LEVELING</t>
        </is>
      </c>
    </row>
    <row r="19" ht="15" customHeight="1" s="121">
      <c r="A19" s="130" t="n">
        <v>12</v>
      </c>
      <c r="B19" s="131" t="inlineStr">
        <is>
          <t>xp_base</t>
        </is>
      </c>
      <c r="C19" s="132" t="n">
        <v>100</v>
      </c>
      <c r="D19" s="133" t="inlineStr">
        <is>
          <t>XP</t>
        </is>
      </c>
      <c r="E19" s="134" t="inlineStr">
        <is>
          <t>XP required from level 1 to level 2.</t>
        </is>
      </c>
    </row>
    <row r="20" ht="15" customHeight="1" s="121">
      <c r="A20" s="130" t="n">
        <v>13</v>
      </c>
      <c r="B20" s="131" t="inlineStr">
        <is>
          <t>xp_growth_per_level</t>
        </is>
      </c>
      <c r="C20" s="135" t="n">
        <v>0.15</v>
      </c>
      <c r="D20" s="133" t="inlineStr">
        <is>
          <t>ratio</t>
        </is>
      </c>
      <c r="E20" s="134" t="inlineStr">
        <is>
          <t>Each level needs 15% more XP than the last.</t>
        </is>
      </c>
    </row>
    <row r="21" ht="15" customHeight="1" s="121">
      <c r="A21" s="130" t="n">
        <v>14</v>
      </c>
      <c r="B21" s="131" t="inlineStr">
        <is>
          <t>xp_per_floor_clear</t>
        </is>
      </c>
      <c r="C21" s="132" t="n">
        <v>25</v>
      </c>
      <c r="D21" s="133" t="inlineStr">
        <is>
          <t>XP</t>
        </is>
      </c>
      <c r="E21" s="134" t="inlineStr">
        <is>
          <t>Base XP awarded for clearing one floor (multiplied by floor #).</t>
        </is>
      </c>
    </row>
    <row r="22" ht="15" customHeight="1" s="121">
      <c r="A22" s="130" t="n">
        <v>15</v>
      </c>
      <c r="B22" s="131" t="inlineStr">
        <is>
          <t>xp_per_elite_kill</t>
        </is>
      </c>
      <c r="C22" s="132" t="n">
        <v>15</v>
      </c>
      <c r="D22" s="133" t="inlineStr">
        <is>
          <t>XP</t>
        </is>
      </c>
      <c r="E22" s="134" t="inlineStr">
        <is>
          <t>Awarded per elite enemy killed.</t>
        </is>
      </c>
    </row>
    <row r="23" ht="15" customHeight="1" s="121">
      <c r="A23" s="130" t="n">
        <v>16</v>
      </c>
      <c r="B23" s="131" t="inlineStr">
        <is>
          <t>xp_per_boss_kill</t>
        </is>
      </c>
      <c r="C23" s="132" t="n">
        <v>80</v>
      </c>
      <c r="D23" s="133" t="inlineStr">
        <is>
          <t>XP</t>
        </is>
      </c>
      <c r="E23" s="134" t="inlineStr">
        <is>
          <t>Awarded per zone boss killed.</t>
        </is>
      </c>
    </row>
    <row r="24" ht="21.75" customHeight="1" s="121">
      <c r="A24" s="129" t="inlineStr">
        <is>
          <t>ENEMY SCALING (used in batch 2)</t>
        </is>
      </c>
    </row>
    <row r="25" ht="15" customHeight="1" s="121">
      <c r="A25" s="130" t="n">
        <v>17</v>
      </c>
      <c r="B25" s="131" t="inlineStr">
        <is>
          <t>enemy_hp_base</t>
        </is>
      </c>
      <c r="C25" s="132" t="n">
        <v>40</v>
      </c>
      <c r="D25" s="133" t="inlineStr">
        <is>
          <t>HP</t>
        </is>
      </c>
      <c r="E25" s="134" t="inlineStr">
        <is>
          <t>Common enemy HP at floor 1.</t>
        </is>
      </c>
    </row>
    <row r="26" ht="21.75" customHeight="1" s="121">
      <c r="A26" s="130" t="n">
        <v>18</v>
      </c>
      <c r="B26" s="131" t="inlineStr">
        <is>
          <t>enemy_hp_growth</t>
        </is>
      </c>
      <c r="C26" s="135" t="n">
        <v>0.09</v>
      </c>
      <c r="D26" s="133" t="inlineStr">
        <is>
          <t>ratio</t>
        </is>
      </c>
      <c r="E26" s="134" t="inlineStr">
        <is>
          <t>Geometric per floor. Should outpace player damage growth (0.07) so combat tightens.</t>
        </is>
      </c>
    </row>
    <row r="27" ht="15" customHeight="1" s="121">
      <c r="A27" s="130" t="n">
        <v>19</v>
      </c>
      <c r="B27" s="131" t="inlineStr">
        <is>
          <t>elite_hp_multiplier</t>
        </is>
      </c>
      <c r="C27" s="136" t="n">
        <v>3</v>
      </c>
      <c r="D27" s="133" t="inlineStr">
        <is>
          <t>x</t>
        </is>
      </c>
      <c r="E27" s="134" t="inlineStr">
        <is>
          <t>Elite = 3.0 × common HP at same floor.</t>
        </is>
      </c>
    </row>
    <row r="28" ht="15" customHeight="1" s="121">
      <c r="A28" s="130" t="n">
        <v>20</v>
      </c>
      <c r="B28" s="131" t="inlineStr">
        <is>
          <t>boss_hp_multiplier</t>
        </is>
      </c>
      <c r="C28" s="136" t="n">
        <v>8</v>
      </c>
      <c r="D28" s="133" t="inlineStr">
        <is>
          <t>x</t>
        </is>
      </c>
      <c r="E28" s="134" t="inlineStr">
        <is>
          <t>Boss = 8.0 × common HP at same floor.</t>
        </is>
      </c>
    </row>
    <row r="29" ht="15" customHeight="1" s="121">
      <c r="A29" s="130" t="n">
        <v>21</v>
      </c>
      <c r="B29" s="131" t="inlineStr">
        <is>
          <t>enemy_dmg_base</t>
        </is>
      </c>
      <c r="C29" s="132" t="n">
        <v>6</v>
      </c>
      <c r="D29" s="133" t="inlineStr">
        <is>
          <t>dmg</t>
        </is>
      </c>
      <c r="E29" s="134" t="inlineStr">
        <is>
          <t>Common enemy attack damage at floor 1.</t>
        </is>
      </c>
    </row>
    <row r="30" ht="15" customHeight="1" s="121">
      <c r="A30" s="130" t="n">
        <v>22</v>
      </c>
      <c r="B30" s="131" t="inlineStr">
        <is>
          <t>enemy_dmg_growth</t>
        </is>
      </c>
      <c r="C30" s="137" t="n">
        <v>0.08</v>
      </c>
      <c r="D30" s="133" t="inlineStr">
        <is>
          <t>ratio</t>
        </is>
      </c>
      <c r="E30" s="134" t="inlineStr">
        <is>
          <t>Geometric per floor.</t>
        </is>
      </c>
    </row>
    <row r="31" ht="15" customHeight="1" s="121">
      <c r="A31" s="130" t="n">
        <v>23</v>
      </c>
      <c r="B31" s="131" t="inlineStr">
        <is>
          <t>elite_dmg_multiplier</t>
        </is>
      </c>
      <c r="C31" s="136" t="n">
        <v>1.6</v>
      </c>
      <c r="D31" s="133" t="inlineStr">
        <is>
          <t>x</t>
        </is>
      </c>
      <c r="E31" s="134" t="n"/>
    </row>
    <row r="32" ht="15" customHeight="1" s="121">
      <c r="A32" s="130" t="n">
        <v>24</v>
      </c>
      <c r="B32" s="131" t="inlineStr">
        <is>
          <t>boss_dmg_multiplier</t>
        </is>
      </c>
      <c r="C32" s="136" t="n">
        <v>2.5</v>
      </c>
      <c r="D32" s="133" t="inlineStr">
        <is>
          <t>x</t>
        </is>
      </c>
      <c r="E32" s="134" t="n"/>
    </row>
    <row r="33" ht="21.75" customHeight="1" s="121">
      <c r="A33" s="129" t="inlineStr">
        <is>
          <t>DROP RATES — base probabilities (per kill)</t>
        </is>
      </c>
    </row>
    <row r="34" ht="15" customHeight="1" s="121">
      <c r="A34" s="130" t="n">
        <v>25</v>
      </c>
      <c r="B34" s="131" t="inlineStr">
        <is>
          <t>drop_common_vein_pct</t>
        </is>
      </c>
      <c r="C34" s="138" t="n">
        <v>1</v>
      </c>
      <c r="D34" s="133" t="inlineStr">
        <is>
          <t>%</t>
        </is>
      </c>
      <c r="E34" s="134" t="inlineStr">
        <is>
          <t>Every common kill drops VEIN.</t>
        </is>
      </c>
    </row>
    <row r="35" ht="15" customHeight="1" s="121">
      <c r="A35" s="130" t="n">
        <v>26</v>
      </c>
      <c r="B35" s="131" t="inlineStr">
        <is>
          <t>drop_common_sig_pct</t>
        </is>
      </c>
      <c r="C35" s="135" t="n">
        <v>0.2</v>
      </c>
      <c r="D35" s="133" t="inlineStr">
        <is>
          <t>%</t>
        </is>
      </c>
      <c r="E35" s="134" t="inlineStr">
        <is>
          <t>20% chance a common kill drops SIG.</t>
        </is>
      </c>
    </row>
    <row r="36" ht="15" customHeight="1" s="121">
      <c r="A36" s="130" t="n">
        <v>27</v>
      </c>
      <c r="B36" s="131" t="inlineStr">
        <is>
          <t>drop_common_mod_pct</t>
        </is>
      </c>
      <c r="C36" s="135" t="n">
        <v>0.05</v>
      </c>
      <c r="D36" s="133" t="inlineStr">
        <is>
          <t>%</t>
        </is>
      </c>
      <c r="E36" s="134" t="inlineStr">
        <is>
          <t>5% chance a common kill drops a generic Mod token.</t>
        </is>
      </c>
    </row>
    <row r="37" ht="15" customHeight="1" s="121">
      <c r="A37" s="130" t="n">
        <v>28</v>
      </c>
      <c r="B37" s="131" t="inlineStr">
        <is>
          <t>drop_elite_sig_pct</t>
        </is>
      </c>
      <c r="C37" s="137" t="n">
        <v>0.65</v>
      </c>
      <c r="D37" s="133" t="inlineStr">
        <is>
          <t>%</t>
        </is>
      </c>
      <c r="E37" s="134" t="inlineStr">
        <is>
          <t>65% chance an elite drops SIG.</t>
        </is>
      </c>
    </row>
    <row r="38" ht="15" customHeight="1" s="121">
      <c r="A38" s="130" t="n">
        <v>29</v>
      </c>
      <c r="B38" s="131" t="inlineStr">
        <is>
          <t>drop_elite_mod_pct</t>
        </is>
      </c>
      <c r="C38" s="137" t="n">
        <v>0.3</v>
      </c>
      <c r="D38" s="133" t="inlineStr">
        <is>
          <t>%</t>
        </is>
      </c>
      <c r="E38" s="134" t="inlineStr">
        <is>
          <t>30% chance an elite drops a Mod token.</t>
        </is>
      </c>
    </row>
    <row r="39" ht="15" customHeight="1" s="121">
      <c r="A39" s="130" t="n">
        <v>30</v>
      </c>
      <c r="B39" s="131" t="inlineStr">
        <is>
          <t>drop_elite_rare_pct</t>
        </is>
      </c>
      <c r="C39" s="135" t="n">
        <v>0.1</v>
      </c>
      <c r="D39" s="133" t="inlineStr">
        <is>
          <t>%</t>
        </is>
      </c>
      <c r="E39" s="134" t="inlineStr">
        <is>
          <t>10% chance an elite drops a Rare mutation core.</t>
        </is>
      </c>
    </row>
    <row r="40" ht="15" customHeight="1" s="121">
      <c r="A40" s="130" t="n">
        <v>31</v>
      </c>
      <c r="B40" s="131" t="inlineStr">
        <is>
          <t>drop_boss_sig</t>
        </is>
      </c>
      <c r="C40" s="138" t="n">
        <v>1</v>
      </c>
      <c r="D40" s="133" t="inlineStr">
        <is>
          <t>%</t>
        </is>
      </c>
      <c r="E40" s="134" t="inlineStr">
        <is>
          <t>Bosses guarantee SIG drop.</t>
        </is>
      </c>
    </row>
    <row r="41" ht="15" customHeight="1" s="121">
      <c r="A41" s="130" t="n">
        <v>32</v>
      </c>
      <c r="B41" s="131" t="inlineStr">
        <is>
          <t>drop_boss_rare_pct</t>
        </is>
      </c>
      <c r="C41" s="135" t="n">
        <v>0.6</v>
      </c>
      <c r="D41" s="133" t="inlineStr">
        <is>
          <t>%</t>
        </is>
      </c>
      <c r="E41" s="134" t="inlineStr">
        <is>
          <t>60% chance boss drops Rare core.</t>
        </is>
      </c>
    </row>
    <row r="42" ht="15" customHeight="1" s="121">
      <c r="A42" s="130" t="n">
        <v>33</v>
      </c>
      <c r="B42" s="131" t="inlineStr">
        <is>
          <t>drop_boss_epic_pct</t>
        </is>
      </c>
      <c r="C42" s="135" t="n">
        <v>0.15</v>
      </c>
      <c r="D42" s="133" t="inlineStr">
        <is>
          <t>%</t>
        </is>
      </c>
      <c r="E42" s="134" t="inlineStr">
        <is>
          <t>15% chance boss drops Epic core.</t>
        </is>
      </c>
    </row>
    <row r="43" ht="21.75" customHeight="1" s="121">
      <c r="A43" s="129" t="inlineStr">
        <is>
          <t>DROP AMOUNTS — per drop instance</t>
        </is>
      </c>
    </row>
    <row r="44" ht="15" customHeight="1" s="121">
      <c r="A44" s="130" t="n">
        <v>34</v>
      </c>
      <c r="B44" s="131" t="inlineStr">
        <is>
          <t>vein_common_amount</t>
        </is>
      </c>
      <c r="C44" s="139" t="n">
        <v>8</v>
      </c>
      <c r="D44" s="133" t="inlineStr">
        <is>
          <t>VEIN</t>
        </is>
      </c>
      <c r="E44" s="134" t="inlineStr">
        <is>
          <t>VEIN per common kill. Placeholder, revisited in batch 2.</t>
        </is>
      </c>
    </row>
    <row r="45" ht="15" customHeight="1" s="121">
      <c r="A45" s="130" t="n">
        <v>35</v>
      </c>
      <c r="B45" s="131" t="inlineStr">
        <is>
          <t>vein_elite_amount</t>
        </is>
      </c>
      <c r="C45" s="132" t="n">
        <v>25</v>
      </c>
      <c r="D45" s="133" t="inlineStr">
        <is>
          <t>VEIN</t>
        </is>
      </c>
      <c r="E45" s="134" t="inlineStr">
        <is>
          <t>VEIN per elite kill.</t>
        </is>
      </c>
    </row>
    <row r="46" ht="15" customHeight="1" s="121">
      <c r="A46" s="130" t="n">
        <v>36</v>
      </c>
      <c r="B46" s="131" t="inlineStr">
        <is>
          <t>vein_boss_amount</t>
        </is>
      </c>
      <c r="C46" s="132" t="n">
        <v>120</v>
      </c>
      <c r="D46" s="133" t="inlineStr">
        <is>
          <t>VEIN</t>
        </is>
      </c>
      <c r="E46" s="134" t="inlineStr">
        <is>
          <t>VEIN per boss kill.</t>
        </is>
      </c>
    </row>
    <row r="47" ht="15" customHeight="1" s="121">
      <c r="A47" s="130" t="n">
        <v>37</v>
      </c>
      <c r="B47" s="131" t="inlineStr">
        <is>
          <t>sig_common_amount</t>
        </is>
      </c>
      <c r="C47" s="132" t="n">
        <v>1</v>
      </c>
      <c r="D47" s="133" t="inlineStr">
        <is>
          <t>SIG</t>
        </is>
      </c>
      <c r="E47" s="134" t="inlineStr">
        <is>
          <t>SIG per common drop instance.</t>
        </is>
      </c>
    </row>
    <row r="48" ht="15" customHeight="1" s="121">
      <c r="A48" s="130" t="n">
        <v>38</v>
      </c>
      <c r="B48" s="131" t="inlineStr">
        <is>
          <t>sig_elite_amount</t>
        </is>
      </c>
      <c r="C48" s="132" t="n">
        <v>3</v>
      </c>
      <c r="D48" s="133" t="inlineStr">
        <is>
          <t>SIG</t>
        </is>
      </c>
      <c r="E48" s="134" t="n"/>
    </row>
    <row r="49" ht="15" customHeight="1" s="121">
      <c r="A49" s="130" t="n">
        <v>39</v>
      </c>
      <c r="B49" s="131" t="inlineStr">
        <is>
          <t>sig_boss_amount</t>
        </is>
      </c>
      <c r="C49" s="132" t="n">
        <v>10</v>
      </c>
      <c r="D49" s="133" t="inlineStr">
        <is>
          <t>SIG</t>
        </is>
      </c>
      <c r="E49" s="134" t="n"/>
    </row>
    <row r="50" ht="21.75" customHeight="1" s="121">
      <c r="A50" s="129" t="inlineStr">
        <is>
          <t>RUN STRUCTURE (referenced in batch 2)</t>
        </is>
      </c>
    </row>
    <row r="51" ht="15" customHeight="1" s="121">
      <c r="A51" s="130" t="n">
        <v>40</v>
      </c>
      <c r="B51" s="131" t="inlineStr">
        <is>
          <t>commons_per_floor</t>
        </is>
      </c>
      <c r="C51" s="132" t="n">
        <v>8</v>
      </c>
      <c r="D51" s="133" t="inlineStr">
        <is>
          <t>kills</t>
        </is>
      </c>
      <c r="E51" s="134" t="inlineStr">
        <is>
          <t>Expected common enemies per floor.</t>
        </is>
      </c>
    </row>
    <row r="52" ht="15" customHeight="1" s="121">
      <c r="A52" s="130" t="n">
        <v>41</v>
      </c>
      <c r="B52" s="131" t="inlineStr">
        <is>
          <t>elites_per_floor</t>
        </is>
      </c>
      <c r="C52" s="136" t="n">
        <v>1.5</v>
      </c>
      <c r="D52" s="133" t="inlineStr">
        <is>
          <t>kills</t>
        </is>
      </c>
      <c r="E52" s="134" t="inlineStr">
        <is>
          <t>Expected elites per floor (average — boss floors have more).</t>
        </is>
      </c>
    </row>
    <row r="53" ht="15" customHeight="1" s="121">
      <c r="A53" s="130" t="n">
        <v>42</v>
      </c>
      <c r="B53" s="131" t="inlineStr">
        <is>
          <t>boss_every_n_floors</t>
        </is>
      </c>
      <c r="C53" s="132" t="n">
        <v>5</v>
      </c>
      <c r="D53" s="133" t="inlineStr">
        <is>
          <t>floors</t>
        </is>
      </c>
      <c r="E53" s="134" t="inlineStr">
        <is>
          <t>Equals floors_per_zone. Boss at floors 5 / 10 / 15 / 20 (zone ends).</t>
        </is>
      </c>
    </row>
    <row r="54" ht="15" customHeight="1" s="121">
      <c r="A54" s="130" t="n">
        <v>43</v>
      </c>
      <c r="B54" s="131" t="inlineStr">
        <is>
          <t>avg_floor_time_min</t>
        </is>
      </c>
      <c r="C54" s="140" t="n">
        <v>5</v>
      </c>
      <c r="D54" s="133" t="inlineStr">
        <is>
          <t>min</t>
        </is>
      </c>
      <c r="E54" s="134" t="inlineStr">
        <is>
          <t>Target average minutes per floor in steady state.</t>
        </is>
      </c>
    </row>
    <row r="55"/>
    <row r="56" ht="21.75" customHeight="1" s="121">
      <c r="A56" s="129" t="inlineStr">
        <is>
          <t>ECONOMY CONVERSIONS (added in v0.2 for batch 2)</t>
        </is>
      </c>
    </row>
    <row r="57" ht="21.75" customHeight="1" s="121">
      <c r="A57" s="130" t="n">
        <v>44</v>
      </c>
      <c r="B57" s="131" t="inlineStr">
        <is>
          <t>shard_per_vein_conversion</t>
        </is>
      </c>
      <c r="C57" s="135" t="n">
        <v>0.005</v>
      </c>
      <c r="D57" s="133" t="inlineStr">
        <is>
          <t>Shard/VEIN</t>
        </is>
      </c>
      <c r="E57" s="134" t="inlineStr">
        <is>
          <t>Per-VEIN Shard Crystal accrual. 0.5%: 1000 VEIN earned ≈ 5 Shards. Yellow — director sign-off needed.</t>
        </is>
      </c>
    </row>
    <row r="58" ht="21.75" customHeight="1" s="121">
      <c r="A58" s="130" t="n">
        <v>45</v>
      </c>
      <c r="B58" s="131" t="inlineStr">
        <is>
          <t>vein_per_floor_clear_bonus</t>
        </is>
      </c>
      <c r="C58" s="139" t="n">
        <v>50</v>
      </c>
      <c r="D58" s="133" t="inlineStr">
        <is>
          <t>VEIN</t>
        </is>
      </c>
      <c r="E58" s="134" t="inlineStr">
        <is>
          <t>Flat VEIN bonus for clearing a floor, on top of mob drops. Smooths income across boss-light floors.</t>
        </is>
      </c>
    </row>
    <row r="59"/>
    <row r="60" ht="21.75" customHeight="1" s="121">
      <c r="A60" s="129" t="inlineStr">
        <is>
          <t>COMBAT TIMING (added in v0.2.1 cleanup)</t>
        </is>
      </c>
    </row>
    <row r="61" ht="21.75" customHeight="1" s="121">
      <c r="A61" s="130" t="n">
        <v>46</v>
      </c>
      <c r="B61" s="131" t="inlineStr">
        <is>
          <t>combat_seconds_per_turn</t>
        </is>
      </c>
      <c r="C61" s="132" t="n">
        <v>6</v>
      </c>
      <c r="D61" s="133" t="inlineStr">
        <is>
          <t>sec</t>
        </is>
      </c>
      <c r="E61" s="134" t="inlineStr">
        <is>
          <t>Average wall-clock seconds per combat turn. Drives Run Pacing combat math.</t>
        </is>
      </c>
    </row>
    <row r="62" ht="21.75" customHeight="1" s="121">
      <c r="A62" s="130" t="n">
        <v>47</v>
      </c>
      <c r="B62" s="131" t="inlineStr">
        <is>
          <t>nav_seconds_per_floor</t>
        </is>
      </c>
      <c r="C62" s="132" t="n">
        <v>30</v>
      </c>
      <c r="D62" s="133" t="inlineStr">
        <is>
          <t>sec</t>
        </is>
      </c>
      <c r="E62" s="134" t="inlineStr">
        <is>
          <t>Average navigation seconds per floor (room traversal, doors, transitions).</t>
        </is>
      </c>
    </row>
    <row r="63" ht="21.75" customHeight="1" s="121">
      <c r="A63" s="130" t="n">
        <v>48</v>
      </c>
      <c r="B63" s="131" t="inlineStr">
        <is>
          <t>reward_ui_seconds_per_floor</t>
        </is>
      </c>
      <c r="C63" s="132" t="n">
        <v>15</v>
      </c>
      <c r="D63" s="133" t="inlineStr">
        <is>
          <t>sec</t>
        </is>
      </c>
      <c r="E63" s="134" t="inlineStr">
        <is>
          <t>Time spent in reward UI after each floor (loot collection, level-up screen).</t>
        </is>
      </c>
    </row>
    <row r="64"/>
    <row r="65" ht="21.75" customHeight="1" s="121">
      <c r="A65" s="129" t="inlineStr">
        <is>
          <t>MUTATION COSTS (added in v0.3)</t>
        </is>
      </c>
    </row>
    <row r="66" ht="21.75" customHeight="1" s="121">
      <c r="A66" s="130" t="n">
        <v>49</v>
      </c>
      <c r="B66" s="131" t="inlineStr">
        <is>
          <t>sig_cost_base</t>
        </is>
      </c>
      <c r="C66" s="132" t="n">
        <v>10</v>
      </c>
      <c r="D66" s="133" t="inlineStr">
        <is>
          <t>SIG</t>
        </is>
      </c>
      <c r="E66" s="134" t="inlineStr">
        <is>
          <t>Base SIG cost to upgrade a Common mutation from level 0 to Mk I.</t>
        </is>
      </c>
    </row>
    <row r="67" ht="21.75" customHeight="1" s="121">
      <c r="A67" s="130" t="n">
        <v>50</v>
      </c>
      <c r="B67" s="131" t="inlineStr">
        <is>
          <t>sig_cost_level_growth</t>
        </is>
      </c>
      <c r="C67" s="140" t="n">
        <v>1.8</v>
      </c>
      <c r="D67" s="133" t="inlineStr">
        <is>
          <t>ratio</t>
        </is>
      </c>
      <c r="E67" s="134" t="inlineStr">
        <is>
          <t>Cost multiplier per upgrade level. Mk II = base × 1.8; Mk III = base × 1.8².</t>
        </is>
      </c>
    </row>
    <row r="68" ht="15" customHeight="1" s="121">
      <c r="A68" s="130" t="n">
        <v>51</v>
      </c>
      <c r="B68" s="131" t="inlineStr">
        <is>
          <t>sig_cost_common_mult</t>
        </is>
      </c>
      <c r="C68" s="136" t="n">
        <v>1</v>
      </c>
      <c r="D68" s="133" t="inlineStr">
        <is>
          <t>x</t>
        </is>
      </c>
      <c r="E68" s="134" t="inlineStr">
        <is>
          <t>Multiplier for Common rarity (reference).</t>
        </is>
      </c>
    </row>
    <row r="69" ht="15" customHeight="1" s="121">
      <c r="A69" s="130" t="n">
        <v>52</v>
      </c>
      <c r="B69" s="131" t="inlineStr">
        <is>
          <t>sig_cost_uncommon_mult</t>
        </is>
      </c>
      <c r="C69" s="136" t="n">
        <v>2.5</v>
      </c>
      <c r="D69" s="133" t="inlineStr">
        <is>
          <t>x</t>
        </is>
      </c>
      <c r="E69" s="134" t="inlineStr">
        <is>
          <t>Multiplier for Uncommon rarity vs Common.</t>
        </is>
      </c>
    </row>
    <row r="70" ht="15" customHeight="1" s="121">
      <c r="A70" s="130" t="n">
        <v>53</v>
      </c>
      <c r="B70" s="131" t="inlineStr">
        <is>
          <t>sig_cost_rare_mult</t>
        </is>
      </c>
      <c r="C70" s="140" t="n">
        <v>6</v>
      </c>
      <c r="D70" s="133" t="inlineStr">
        <is>
          <t>x</t>
        </is>
      </c>
      <c r="E70" s="134" t="inlineStr">
        <is>
          <t>Multiplier for Rare rarity vs Common.</t>
        </is>
      </c>
    </row>
    <row r="71" ht="15" customHeight="1" s="121">
      <c r="A71" s="130" t="n">
        <v>54</v>
      </c>
      <c r="B71" s="131" t="inlineStr">
        <is>
          <t>sig_cost_epic_mult</t>
        </is>
      </c>
      <c r="C71" s="140" t="n">
        <v>15</v>
      </c>
      <c r="D71" s="133" t="inlineStr">
        <is>
          <t>x</t>
        </is>
      </c>
      <c r="E71" s="134" t="inlineStr">
        <is>
          <t>Multiplier for Epic rarity vs Common.</t>
        </is>
      </c>
    </row>
    <row r="72" ht="21.75" customHeight="1" s="121">
      <c r="A72" s="130" t="n">
        <v>55</v>
      </c>
      <c r="B72" s="131" t="inlineStr">
        <is>
          <t>mutations_slot_cap</t>
        </is>
      </c>
      <c r="C72" s="132" t="n">
        <v>4</v>
      </c>
      <c r="D72" s="133" t="inlineStr">
        <is>
          <t>slots</t>
        </is>
      </c>
      <c r="E72" s="134" t="inlineStr">
        <is>
          <t>Final unlockable mutation slot count (matches XP &amp; Level Curve unlocks).</t>
        </is>
      </c>
    </row>
    <row r="73"/>
    <row r="74" ht="21.75" customHeight="1" s="121">
      <c r="A74" s="129" t="inlineStr">
        <is>
          <t>IAP CATALOG (added in v0.3)</t>
        </is>
      </c>
    </row>
    <row r="75" ht="15" customHeight="1" s="121">
      <c r="A75" s="130" t="n">
        <v>56</v>
      </c>
      <c r="B75" s="131" t="inlineStr">
        <is>
          <t>iap_vein_small_usd</t>
        </is>
      </c>
      <c r="C75" s="141" t="n">
        <v>0.99</v>
      </c>
      <c r="D75" s="133" t="inlineStr">
        <is>
          <t>USD</t>
        </is>
      </c>
      <c r="E75" s="134" t="inlineStr">
        <is>
          <t>Price of the small VEIN pack.</t>
        </is>
      </c>
    </row>
    <row r="76" ht="15" customHeight="1" s="121">
      <c r="A76" s="130" t="n">
        <v>57</v>
      </c>
      <c r="B76" s="131" t="inlineStr">
        <is>
          <t>iap_vein_small_amount</t>
        </is>
      </c>
      <c r="C76" s="132" t="n">
        <v>500</v>
      </c>
      <c r="D76" s="133" t="inlineStr">
        <is>
          <t>VEIN</t>
        </is>
      </c>
      <c r="E76" s="134" t="inlineStr">
        <is>
          <t>VEIN granted in the small pack.</t>
        </is>
      </c>
    </row>
    <row r="77" ht="15" customHeight="1" s="121">
      <c r="A77" s="130" t="n">
        <v>58</v>
      </c>
      <c r="B77" s="131" t="inlineStr">
        <is>
          <t>iap_vein_medium_usd</t>
        </is>
      </c>
      <c r="C77" s="141" t="n">
        <v>4.99</v>
      </c>
      <c r="D77" s="133" t="inlineStr">
        <is>
          <t>USD</t>
        </is>
      </c>
      <c r="E77" s="134" t="inlineStr">
        <is>
          <t>Price of the medium VEIN pack.</t>
        </is>
      </c>
    </row>
    <row r="78" ht="15" customHeight="1" s="121">
      <c r="A78" s="130" t="n">
        <v>59</v>
      </c>
      <c r="B78" s="131" t="inlineStr">
        <is>
          <t>iap_vein_medium_amount</t>
        </is>
      </c>
      <c r="C78" s="139" t="n">
        <v>3000</v>
      </c>
      <c r="D78" s="133" t="inlineStr">
        <is>
          <t>VEIN</t>
        </is>
      </c>
      <c r="E78" s="134" t="inlineStr">
        <is>
          <t>VEIN granted in the medium pack (20% bulk bonus vs small).</t>
        </is>
      </c>
    </row>
    <row r="79" ht="15" customHeight="1" s="121">
      <c r="A79" s="130" t="n">
        <v>60</v>
      </c>
      <c r="B79" s="131" t="inlineStr">
        <is>
          <t>iap_vein_large_usd</t>
        </is>
      </c>
      <c r="C79" s="141" t="n">
        <v>19.99</v>
      </c>
      <c r="D79" s="133" t="inlineStr">
        <is>
          <t>USD</t>
        </is>
      </c>
      <c r="E79" s="134" t="inlineStr">
        <is>
          <t>Price of the large VEIN pack.</t>
        </is>
      </c>
    </row>
    <row r="80" ht="15" customHeight="1" s="121">
      <c r="A80" s="130" t="n">
        <v>61</v>
      </c>
      <c r="B80" s="131" t="inlineStr">
        <is>
          <t>iap_vein_large_amount</t>
        </is>
      </c>
      <c r="C80" s="139" t="n">
        <v>15000</v>
      </c>
      <c r="D80" s="133" t="inlineStr">
        <is>
          <t>VEIN</t>
        </is>
      </c>
      <c r="E80" s="134" t="inlineStr">
        <is>
          <t>VEIN granted in the large pack (50% bulk bonus vs small).</t>
        </is>
      </c>
    </row>
    <row r="81" ht="15" customHeight="1" s="121">
      <c r="A81" s="130" t="n">
        <v>62</v>
      </c>
      <c r="B81" s="131" t="inlineStr">
        <is>
          <t>iap_shard_small_usd</t>
        </is>
      </c>
      <c r="C81" s="141" t="n">
        <v>2.99</v>
      </c>
      <c r="D81" s="133" t="inlineStr">
        <is>
          <t>USD</t>
        </is>
      </c>
      <c r="E81" s="134" t="inlineStr">
        <is>
          <t>Price of the small Shard pack.</t>
        </is>
      </c>
    </row>
    <row r="82" ht="15" customHeight="1" s="121">
      <c r="A82" s="130" t="n">
        <v>63</v>
      </c>
      <c r="B82" s="131" t="inlineStr">
        <is>
          <t>iap_shard_small_amount</t>
        </is>
      </c>
      <c r="C82" s="139" t="n">
        <v>6</v>
      </c>
      <c r="D82" s="133" t="inlineStr">
        <is>
          <t>Shard</t>
        </is>
      </c>
      <c r="E82" s="134" t="inlineStr">
        <is>
          <t>Shards granted in the small pack.</t>
        </is>
      </c>
    </row>
    <row r="83" ht="15" customHeight="1" s="121">
      <c r="A83" s="130" t="n">
        <v>64</v>
      </c>
      <c r="B83" s="131" t="inlineStr">
        <is>
          <t>iap_shard_large_usd</t>
        </is>
      </c>
      <c r="C83" s="141" t="n">
        <v>14.99</v>
      </c>
      <c r="D83" s="133" t="inlineStr">
        <is>
          <t>USD</t>
        </is>
      </c>
      <c r="E83" s="134" t="inlineStr">
        <is>
          <t>Price of the large Shard pack.</t>
        </is>
      </c>
    </row>
    <row r="84" ht="15" customHeight="1" s="121">
      <c r="A84" s="130" t="n">
        <v>65</v>
      </c>
      <c r="B84" s="131" t="inlineStr">
        <is>
          <t>iap_shard_large_amount</t>
        </is>
      </c>
      <c r="C84" s="139" t="n">
        <v>40</v>
      </c>
      <c r="D84" s="133" t="inlineStr">
        <is>
          <t>Shard</t>
        </is>
      </c>
      <c r="E84" s="134" t="inlineStr">
        <is>
          <t>Shards granted in the large pack (20% bulk bonus).</t>
        </is>
      </c>
    </row>
    <row r="85" ht="15" customHeight="1" s="121">
      <c r="A85" s="130" t="n">
        <v>66</v>
      </c>
      <c r="B85" s="131" t="inlineStr">
        <is>
          <t>iap_pass_usd</t>
        </is>
      </c>
      <c r="C85" s="141" t="n">
        <v>9.99</v>
      </c>
      <c r="D85" s="133" t="inlineStr">
        <is>
          <t>USD</t>
        </is>
      </c>
      <c r="E85" s="134" t="inlineStr">
        <is>
          <t>Price of the Deep Signal Pass (30-day battle pass).</t>
        </is>
      </c>
    </row>
    <row r="86" ht="15" customHeight="1" s="121">
      <c r="A86" s="130" t="n">
        <v>67</v>
      </c>
      <c r="B86" s="131" t="inlineStr">
        <is>
          <t>iap_pass_vein_grant</t>
        </is>
      </c>
      <c r="C86" s="139" t="n">
        <v>8000</v>
      </c>
      <c r="D86" s="133" t="inlineStr">
        <is>
          <t>VEIN</t>
        </is>
      </c>
      <c r="E86" s="134" t="inlineStr">
        <is>
          <t>Total VEIN granted across the pass duration (daily + milestones).</t>
        </is>
      </c>
    </row>
    <row r="87" ht="15" customHeight="1" s="121">
      <c r="A87" s="130" t="n">
        <v>68</v>
      </c>
      <c r="B87" s="131" t="inlineStr">
        <is>
          <t>iap_pass_shard_grant</t>
        </is>
      </c>
      <c r="C87" s="139" t="n">
        <v>20</v>
      </c>
      <c r="D87" s="133" t="inlineStr">
        <is>
          <t>Shard</t>
        </is>
      </c>
      <c r="E87" s="134" t="inlineStr">
        <is>
          <t>Total Shards granted across the pass duration.</t>
        </is>
      </c>
    </row>
    <row r="88" ht="21.75" customHeight="1" s="121">
      <c r="A88" s="130" t="n">
        <v>69</v>
      </c>
      <c r="B88" s="131" t="inlineStr">
        <is>
          <t>target_arppu_usd</t>
        </is>
      </c>
      <c r="C88" s="142" t="n">
        <v>12</v>
      </c>
      <c r="D88" s="133" t="inlineStr">
        <is>
          <t>USD</t>
        </is>
      </c>
      <c r="E88" s="134" t="inlineStr">
        <is>
          <t>Target ARPPU (revenue per paying user). Used by Revenue Model in batch 4.</t>
        </is>
      </c>
    </row>
    <row r="89" ht="21.75" customHeight="1" s="121">
      <c r="A89" s="130" t="n">
        <v>70</v>
      </c>
      <c r="B89" s="131" t="inlineStr">
        <is>
          <t>target_conversion_pct</t>
        </is>
      </c>
      <c r="C89" s="135" t="n">
        <v>0.04</v>
      </c>
      <c r="D89" s="133" t="inlineStr">
        <is>
          <t>%</t>
        </is>
      </c>
      <c r="E89" s="134" t="inlineStr">
        <is>
          <t>Target free→paying conversion rate. 4% = mobile-RPG industry benchmark.</t>
        </is>
      </c>
    </row>
    <row r="90"/>
    <row r="91" ht="21.75" customHeight="1" s="121">
      <c r="A91" s="129" t="inlineStr">
        <is>
          <t>DAU &amp; REVENUE MODEL (added in v0.4)</t>
        </is>
      </c>
    </row>
    <row r="92" ht="15" customHeight="1" s="121">
      <c r="A92" s="130" t="n">
        <v>71</v>
      </c>
      <c r="B92" s="131" t="inlineStr">
        <is>
          <t>dau_start_pess</t>
        </is>
      </c>
      <c r="C92" s="139" t="n">
        <v>2000</v>
      </c>
      <c r="D92" s="133" t="inlineStr">
        <is>
          <t>DAU</t>
        </is>
      </c>
      <c r="E92" s="134" t="inlineStr">
        <is>
          <t>Starting DAU month 1 — pessimistic scenario.</t>
        </is>
      </c>
    </row>
    <row r="93" ht="15" customHeight="1" s="121">
      <c r="A93" s="130" t="n">
        <v>72</v>
      </c>
      <c r="B93" s="131" t="inlineStr">
        <is>
          <t>dau_growth_pess</t>
        </is>
      </c>
      <c r="C93" s="137" t="n">
        <v>0.05</v>
      </c>
      <c r="D93" s="133" t="inlineStr">
        <is>
          <t>MoM</t>
        </is>
      </c>
      <c r="E93" s="134" t="inlineStr">
        <is>
          <t>DAU month-over-month growth — pessimistic. 5%/mo.</t>
        </is>
      </c>
    </row>
    <row r="94" ht="15" customHeight="1" s="121">
      <c r="A94" s="130" t="n">
        <v>73</v>
      </c>
      <c r="B94" s="131" t="inlineStr">
        <is>
          <t>conversion_pct_pess</t>
        </is>
      </c>
      <c r="C94" s="137" t="n">
        <v>0.02</v>
      </c>
      <c r="D94" s="133" t="inlineStr">
        <is>
          <t>%</t>
        </is>
      </c>
      <c r="E94" s="134" t="inlineStr">
        <is>
          <t>Free-to-paying conversion — pessimistic. 2%.</t>
        </is>
      </c>
    </row>
    <row r="95" ht="15" customHeight="1" s="121">
      <c r="A95" s="130" t="n">
        <v>74</v>
      </c>
      <c r="B95" s="131" t="inlineStr">
        <is>
          <t>arppu_pess</t>
        </is>
      </c>
      <c r="C95" s="141" t="n">
        <v>8</v>
      </c>
      <c r="D95" s="133" t="inlineStr">
        <is>
          <t>USD</t>
        </is>
      </c>
      <c r="E95" s="134" t="inlineStr">
        <is>
          <t>Average revenue per paying user (monthly) — pessimistic. $8.</t>
        </is>
      </c>
    </row>
    <row r="96" ht="15" customHeight="1" s="121">
      <c r="A96" s="130" t="n">
        <v>75</v>
      </c>
      <c r="B96" s="131" t="inlineStr">
        <is>
          <t>dau_start_cons</t>
        </is>
      </c>
      <c r="C96" s="139" t="n">
        <v>5000</v>
      </c>
      <c r="D96" s="133" t="inlineStr">
        <is>
          <t>DAU</t>
        </is>
      </c>
      <c r="E96" s="134" t="inlineStr">
        <is>
          <t>Starting DAU month 1 — conservative.</t>
        </is>
      </c>
    </row>
    <row r="97" ht="15" customHeight="1" s="121">
      <c r="A97" s="130" t="n">
        <v>76</v>
      </c>
      <c r="B97" s="131" t="inlineStr">
        <is>
          <t>dau_growth_cons</t>
        </is>
      </c>
      <c r="C97" s="137" t="n">
        <v>0.1</v>
      </c>
      <c r="D97" s="133" t="inlineStr">
        <is>
          <t>MoM</t>
        </is>
      </c>
      <c r="E97" s="134" t="inlineStr">
        <is>
          <t>DAU growth — conservative. 10%/mo.</t>
        </is>
      </c>
    </row>
    <row r="98" ht="15" customHeight="1" s="121">
      <c r="A98" s="130" t="n">
        <v>77</v>
      </c>
      <c r="B98" s="131" t="inlineStr">
        <is>
          <t>conversion_pct_cons</t>
        </is>
      </c>
      <c r="C98" s="137" t="n">
        <v>0.04</v>
      </c>
      <c r="D98" s="133" t="inlineStr">
        <is>
          <t>%</t>
        </is>
      </c>
      <c r="E98" s="134" t="inlineStr">
        <is>
          <t>Conversion — conservative. 4% (industry benchmark).</t>
        </is>
      </c>
    </row>
    <row r="99" ht="15" customHeight="1" s="121">
      <c r="A99" s="130" t="n">
        <v>78</v>
      </c>
      <c r="B99" s="131" t="inlineStr">
        <is>
          <t>arppu_cons</t>
        </is>
      </c>
      <c r="C99" s="141" t="n">
        <v>12</v>
      </c>
      <c r="D99" s="133" t="inlineStr">
        <is>
          <t>USD</t>
        </is>
      </c>
      <c r="E99" s="134" t="inlineStr">
        <is>
          <t>ARPPU — conservative. $12.</t>
        </is>
      </c>
    </row>
    <row r="100" ht="15" customHeight="1" s="121">
      <c r="A100" s="130" t="n">
        <v>79</v>
      </c>
      <c r="B100" s="131" t="inlineStr">
        <is>
          <t>dau_start_targ</t>
        </is>
      </c>
      <c r="C100" s="139" t="n">
        <v>10000</v>
      </c>
      <c r="D100" s="133" t="inlineStr">
        <is>
          <t>DAU</t>
        </is>
      </c>
      <c r="E100" s="134" t="inlineStr">
        <is>
          <t>Starting DAU month 1 — target.</t>
        </is>
      </c>
    </row>
    <row r="101" ht="15" customHeight="1" s="121">
      <c r="A101" s="130" t="n">
        <v>80</v>
      </c>
      <c r="B101" s="131" t="inlineStr">
        <is>
          <t>dau_growth_targ</t>
        </is>
      </c>
      <c r="C101" s="135" t="n">
        <v>0.18</v>
      </c>
      <c r="D101" s="133" t="inlineStr">
        <is>
          <t>MoM</t>
        </is>
      </c>
      <c r="E101" s="134" t="inlineStr">
        <is>
          <t>DAU growth — target. 18%/mo.</t>
        </is>
      </c>
    </row>
    <row r="102" ht="15" customHeight="1" s="121">
      <c r="A102" s="130" t="n">
        <v>81</v>
      </c>
      <c r="B102" s="131" t="inlineStr">
        <is>
          <t>conversion_pct_targ</t>
        </is>
      </c>
      <c r="C102" s="135" t="n">
        <v>0.06</v>
      </c>
      <c r="D102" s="133" t="inlineStr">
        <is>
          <t>%</t>
        </is>
      </c>
      <c r="E102" s="134" t="inlineStr">
        <is>
          <t>Conversion — target. 6% (top-quartile mobile RPG).</t>
        </is>
      </c>
    </row>
    <row r="103" ht="15" customHeight="1" s="121">
      <c r="A103" s="130" t="n">
        <v>82</v>
      </c>
      <c r="B103" s="131" t="inlineStr">
        <is>
          <t>arppu_targ</t>
        </is>
      </c>
      <c r="C103" s="142" t="n">
        <v>18</v>
      </c>
      <c r="D103" s="133" t="inlineStr">
        <is>
          <t>USD</t>
        </is>
      </c>
      <c r="E103" s="134" t="inlineStr">
        <is>
          <t>ARPPU — target. $18 (mobile-RPG-with-Pass benchmark; set in v1.0).</t>
        </is>
      </c>
    </row>
    <row r="104" ht="15" customHeight="1" s="121">
      <c r="A104" s="130" t="n">
        <v>83</v>
      </c>
      <c r="B104" s="131" t="inlineStr">
        <is>
          <t>platform_cut_pct</t>
        </is>
      </c>
      <c r="C104" s="138" t="n">
        <v>0.3</v>
      </c>
      <c r="D104" s="133" t="inlineStr">
        <is>
          <t>%</t>
        </is>
      </c>
      <c r="E104" s="134" t="inlineStr">
        <is>
          <t>Apple/Google platform fee. 30% standard.</t>
        </is>
      </c>
    </row>
    <row r="105"/>
    <row r="106" ht="21.75" customHeight="1" s="121">
      <c r="A106" s="129" t="inlineStr">
        <is>
          <t>COST PROJECTION (added in v0.4)</t>
        </is>
      </c>
    </row>
    <row r="107" ht="21.75" customHeight="1" s="121">
      <c r="A107" s="130" t="n">
        <v>84</v>
      </c>
      <c r="B107" s="131" t="inlineStr">
        <is>
          <t>firebase_cost_per_dau_per_month</t>
        </is>
      </c>
      <c r="C107" s="142" t="n">
        <v>0.0012</v>
      </c>
      <c r="D107" s="133" t="inlineStr">
        <is>
          <t>USD</t>
        </is>
      </c>
      <c r="E107" s="134" t="inlineStr">
        <is>
          <t>Firebase blended cost per DAU per month. Mid-range mobile-RPG benchmark.</t>
        </is>
      </c>
    </row>
    <row r="108" ht="15" customHeight="1" s="121">
      <c r="A108" s="130" t="n">
        <v>85</v>
      </c>
      <c r="B108" s="131" t="inlineStr">
        <is>
          <t>dev_burn_monthly_usd</t>
        </is>
      </c>
      <c r="C108" s="143" t="n">
        <v>18000</v>
      </c>
      <c r="D108" s="133" t="inlineStr">
        <is>
          <t>USD</t>
        </is>
      </c>
      <c r="E108" s="134" t="inlineStr">
        <is>
          <t>Monthly dev burn (salaries, contractors, art). Flat across scenarios.</t>
        </is>
      </c>
    </row>
    <row r="109" ht="15" customHeight="1" s="121">
      <c r="A109" s="130" t="n">
        <v>86</v>
      </c>
      <c r="B109" s="131" t="inlineStr">
        <is>
          <t>ua_spend_pess_monthly_usd</t>
        </is>
      </c>
      <c r="C109" s="144" t="n">
        <v>2000</v>
      </c>
      <c r="D109" s="133" t="inlineStr">
        <is>
          <t>USD</t>
        </is>
      </c>
      <c r="E109" s="134" t="inlineStr">
        <is>
          <t>User acquisition spend — pessimistic (defensive marketing).</t>
        </is>
      </c>
    </row>
    <row r="110" ht="15" customHeight="1" s="121">
      <c r="A110" s="130" t="n">
        <v>87</v>
      </c>
      <c r="B110" s="131" t="inlineStr">
        <is>
          <t>ua_spend_cons_monthly_usd</t>
        </is>
      </c>
      <c r="C110" s="144" t="n">
        <v>8000</v>
      </c>
      <c r="D110" s="133" t="inlineStr">
        <is>
          <t>USD</t>
        </is>
      </c>
      <c r="E110" s="134" t="inlineStr">
        <is>
          <t>UA spend — conservative.</t>
        </is>
      </c>
    </row>
    <row r="111" ht="15" customHeight="1" s="121">
      <c r="A111" s="130" t="n">
        <v>88</v>
      </c>
      <c r="B111" s="131" t="inlineStr">
        <is>
          <t>ua_spend_targ_monthly_usd</t>
        </is>
      </c>
      <c r="C111" s="143" t="n">
        <v>25000</v>
      </c>
      <c r="D111" s="133" t="inlineStr">
        <is>
          <t>USD</t>
        </is>
      </c>
      <c r="E111" s="134" t="inlineStr">
        <is>
          <t>UA spend — target (aggressive growth investment).</t>
        </is>
      </c>
    </row>
  </sheetData>
  <mergeCells count="15">
    <mergeCell ref="A91:E91"/>
    <mergeCell ref="A50:E50"/>
    <mergeCell ref="A65:E65"/>
    <mergeCell ref="A43:E43"/>
    <mergeCell ref="A24:E24"/>
    <mergeCell ref="A2:E2"/>
    <mergeCell ref="A18:E18"/>
    <mergeCell ref="A60:E60"/>
    <mergeCell ref="A33:E33"/>
    <mergeCell ref="A11:E11"/>
    <mergeCell ref="A1:E1"/>
    <mergeCell ref="A5:E5"/>
    <mergeCell ref="A74:E74"/>
    <mergeCell ref="A56:E56"/>
    <mergeCell ref="A106:E10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45"/>
  <sheetViews>
    <sheetView showFormulas="0" showGridLines="0" showRowColHeaders="1" showZeros="1" rightToLeft="0" tabSelected="0" showOutlineSymbols="1" defaultGridColor="1"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0" min="1" max="1"/>
    <col width="14" customWidth="1" style="120" min="2" max="3"/>
    <col width="10" customWidth="1" style="120" min="4" max="4"/>
    <col width="14" customWidth="1" style="120" min="5" max="6"/>
    <col width="36" customWidth="1" style="120" min="7" max="7"/>
  </cols>
  <sheetData>
    <row r="1" ht="19.5" customHeight="1" s="121">
      <c r="A1" s="122" t="inlineStr">
        <is>
          <t>PLAYER STATS CURVE</t>
        </is>
      </c>
    </row>
    <row r="2" ht="15" customHeight="1" s="121">
      <c r="A2" s="123" t="inlineStr">
        <is>
          <t>Driven entirely by Assumptions. All formulas in black are same-sheet; green pulls cross-sheet.</t>
        </is>
      </c>
    </row>
    <row r="4" ht="21.75" customHeight="1" s="121">
      <c r="A4" s="129" t="inlineStr">
        <is>
          <t>DRIVER INPUTS (mirrored from Assumptions — green text)</t>
        </is>
      </c>
    </row>
    <row r="5" ht="15" customHeight="1" s="121">
      <c r="A5" s="128" t="inlineStr">
        <is>
          <t>Driver</t>
        </is>
      </c>
      <c r="B5" s="128" t="inlineStr">
        <is>
          <t>Value</t>
        </is>
      </c>
    </row>
    <row r="6" ht="15" customHeight="1" s="121">
      <c r="A6" s="145" t="inlineStr">
        <is>
          <t>hp_base</t>
        </is>
      </c>
      <c r="B6" s="146">
        <f>Assumptions!$C$12</f>
        <v/>
      </c>
    </row>
    <row r="7" ht="15" customHeight="1" s="121">
      <c r="A7" s="145" t="inlineStr">
        <is>
          <t>hp_growth_per_floor</t>
        </is>
      </c>
      <c r="B7" s="147">
        <f>Assumptions!$C$13</f>
        <v/>
      </c>
    </row>
    <row r="8" ht="15" customHeight="1" s="121">
      <c r="A8" s="145" t="inlineStr">
        <is>
          <t>ap_base</t>
        </is>
      </c>
      <c r="B8" s="146">
        <f>Assumptions!$C$14</f>
        <v/>
      </c>
    </row>
    <row r="9" ht="15" customHeight="1" s="121">
      <c r="A9" s="145" t="inlineStr">
        <is>
          <t>ap_floor_bonus_every</t>
        </is>
      </c>
      <c r="B9" s="146">
        <f>Assumptions!$C$15</f>
        <v/>
      </c>
    </row>
    <row r="10" ht="15" customHeight="1" s="121">
      <c r="A10" s="145" t="inlineStr">
        <is>
          <t>damage_base</t>
        </is>
      </c>
      <c r="B10" s="146">
        <f>Assumptions!$C$16</f>
        <v/>
      </c>
    </row>
    <row r="11" ht="15" customHeight="1" s="121">
      <c r="A11" s="145" t="inlineStr">
        <is>
          <t>damage_growth_per_floor</t>
        </is>
      </c>
      <c r="B11" s="147">
        <f>Assumptions!$C$17</f>
        <v/>
      </c>
    </row>
    <row r="12" ht="15" customHeight="1" s="121">
      <c r="A12" s="145" t="inlineStr">
        <is>
          <t>max_floor</t>
        </is>
      </c>
      <c r="B12" s="146">
        <f>Assumptions!$C$6</f>
        <v/>
      </c>
    </row>
    <row r="14" ht="21.75" customHeight="1" s="121">
      <c r="A14" s="129" t="inlineStr">
        <is>
          <t>PER-FLOOR CURVE</t>
        </is>
      </c>
    </row>
    <row r="15" ht="27.75" customHeight="1" s="121">
      <c r="A15" s="128" t="inlineStr">
        <is>
          <t>Floor</t>
        </is>
      </c>
      <c r="B15" s="128" t="inlineStr">
        <is>
          <t>Player HP</t>
        </is>
      </c>
      <c r="C15" s="128" t="inlineStr">
        <is>
          <t>Player Damage</t>
        </is>
      </c>
      <c r="D15" s="128" t="inlineStr">
        <is>
          <t>Player AP</t>
        </is>
      </c>
      <c r="E15" s="128" t="inlineStr">
        <is>
          <t>HP vs Floor 1</t>
        </is>
      </c>
      <c r="F15" s="128" t="inlineStr">
        <is>
          <t>Dmg vs Floor 1</t>
        </is>
      </c>
      <c r="G15" s="128" t="inlineStr">
        <is>
          <t>Notes</t>
        </is>
      </c>
    </row>
    <row r="16" ht="15" customHeight="1" s="121">
      <c r="A16" s="148" t="n">
        <v>1</v>
      </c>
      <c r="B16" s="149">
        <f>$B$6*(1+$B$7)^(A16-1)</f>
        <v/>
      </c>
      <c r="C16" s="149">
        <f>$B$10*(1+$B$11)^(A16-1)</f>
        <v/>
      </c>
      <c r="D16" s="149">
        <f>$B$8+INT((A16-1)/$B$9)</f>
        <v/>
      </c>
      <c r="E16" s="150">
        <f>B16/$B$16</f>
        <v/>
      </c>
      <c r="F16" s="150">
        <f>C16/$C$16</f>
        <v/>
      </c>
      <c r="G16" s="151" t="n"/>
    </row>
    <row r="17" ht="15" customHeight="1" s="121">
      <c r="A17" s="152" t="n">
        <v>2</v>
      </c>
      <c r="B17" s="153">
        <f>$B$6*(1+$B$7)^(A17-1)</f>
        <v/>
      </c>
      <c r="C17" s="153">
        <f>$B$10*(1+$B$11)^(A17-1)</f>
        <v/>
      </c>
      <c r="D17" s="153">
        <f>$B$8+INT((A17-1)/$B$9)</f>
        <v/>
      </c>
      <c r="E17" s="154">
        <f>B17/$B$16</f>
        <v/>
      </c>
      <c r="F17" s="154">
        <f>C17/$C$16</f>
        <v/>
      </c>
      <c r="G17" s="155" t="n"/>
    </row>
    <row r="18" ht="15" customHeight="1" s="121">
      <c r="A18" s="148" t="n">
        <v>3</v>
      </c>
      <c r="B18" s="149">
        <f>$B$6*(1+$B$7)^(A18-1)</f>
        <v/>
      </c>
      <c r="C18" s="149">
        <f>$B$10*(1+$B$11)^(A18-1)</f>
        <v/>
      </c>
      <c r="D18" s="149">
        <f>$B$8+INT((A18-1)/$B$9)</f>
        <v/>
      </c>
      <c r="E18" s="150">
        <f>B18/$B$16</f>
        <v/>
      </c>
      <c r="F18" s="150">
        <f>C18/$C$16</f>
        <v/>
      </c>
      <c r="G18" s="151" t="n"/>
    </row>
    <row r="19" ht="15" customHeight="1" s="121">
      <c r="A19" s="152" t="n">
        <v>4</v>
      </c>
      <c r="B19" s="153">
        <f>$B$6*(1+$B$7)^(A19-1)</f>
        <v/>
      </c>
      <c r="C19" s="153">
        <f>$B$10*(1+$B$11)^(A19-1)</f>
        <v/>
      </c>
      <c r="D19" s="153">
        <f>$B$8+INT((A19-1)/$B$9)</f>
        <v/>
      </c>
      <c r="E19" s="154">
        <f>B19/$B$16</f>
        <v/>
      </c>
      <c r="F19" s="154">
        <f>C19/$C$16</f>
        <v/>
      </c>
      <c r="G19" s="155" t="n"/>
    </row>
    <row r="20" ht="15" customHeight="1" s="121">
      <c r="A20" s="148" t="n">
        <v>5</v>
      </c>
      <c r="B20" s="149">
        <f>$B$6*(1+$B$7)^(A20-1)</f>
        <v/>
      </c>
      <c r="C20" s="149">
        <f>$B$10*(1+$B$11)^(A20-1)</f>
        <v/>
      </c>
      <c r="D20" s="149">
        <f>$B$8+INT((A20-1)/$B$9)</f>
        <v/>
      </c>
      <c r="E20" s="150">
        <f>B20/$B$16</f>
        <v/>
      </c>
      <c r="F20" s="150">
        <f>C20/$C$16</f>
        <v/>
      </c>
      <c r="G20" s="151" t="inlineStr">
        <is>
          <t>Zone 1 boss floor</t>
        </is>
      </c>
    </row>
    <row r="21" ht="15" customHeight="1" s="121">
      <c r="A21" s="152" t="n">
        <v>6</v>
      </c>
      <c r="B21" s="153">
        <f>$B$6*(1+$B$7)^(A21-1)</f>
        <v/>
      </c>
      <c r="C21" s="153">
        <f>$B$10*(1+$B$11)^(A21-1)</f>
        <v/>
      </c>
      <c r="D21" s="153">
        <f>$B$8+INT((A21-1)/$B$9)</f>
        <v/>
      </c>
      <c r="E21" s="154">
        <f>B21/$B$16</f>
        <v/>
      </c>
      <c r="F21" s="154">
        <f>C21/$C$16</f>
        <v/>
      </c>
      <c r="G21" s="155" t="n"/>
    </row>
    <row r="22" ht="15" customHeight="1" s="121">
      <c r="A22" s="148" t="n">
        <v>7</v>
      </c>
      <c r="B22" s="149">
        <f>$B$6*(1+$B$7)^(A22-1)</f>
        <v/>
      </c>
      <c r="C22" s="149">
        <f>$B$10*(1+$B$11)^(A22-1)</f>
        <v/>
      </c>
      <c r="D22" s="149">
        <f>$B$8+INT((A22-1)/$B$9)</f>
        <v/>
      </c>
      <c r="E22" s="150">
        <f>B22/$B$16</f>
        <v/>
      </c>
      <c r="F22" s="150">
        <f>C22/$C$16</f>
        <v/>
      </c>
      <c r="G22" s="151" t="n"/>
    </row>
    <row r="23" ht="15" customHeight="1" s="121">
      <c r="A23" s="152" t="n">
        <v>8</v>
      </c>
      <c r="B23" s="153">
        <f>$B$6*(1+$B$7)^(A23-1)</f>
        <v/>
      </c>
      <c r="C23" s="153">
        <f>$B$10*(1+$B$11)^(A23-1)</f>
        <v/>
      </c>
      <c r="D23" s="153">
        <f>$B$8+INT((A23-1)/$B$9)</f>
        <v/>
      </c>
      <c r="E23" s="154">
        <f>B23/$B$16</f>
        <v/>
      </c>
      <c r="F23" s="154">
        <f>C23/$C$16</f>
        <v/>
      </c>
      <c r="G23" s="155" t="n"/>
    </row>
    <row r="24" ht="15" customHeight="1" s="121">
      <c r="A24" s="148" t="n">
        <v>9</v>
      </c>
      <c r="B24" s="149">
        <f>$B$6*(1+$B$7)^(A24-1)</f>
        <v/>
      </c>
      <c r="C24" s="149">
        <f>$B$10*(1+$B$11)^(A24-1)</f>
        <v/>
      </c>
      <c r="D24" s="149">
        <f>$B$8+INT((A24-1)/$B$9)</f>
        <v/>
      </c>
      <c r="E24" s="150">
        <f>B24/$B$16</f>
        <v/>
      </c>
      <c r="F24" s="150">
        <f>C24/$C$16</f>
        <v/>
      </c>
      <c r="G24" s="151" t="n"/>
    </row>
    <row r="25" ht="15" customHeight="1" s="121">
      <c r="A25" s="152" t="n">
        <v>10</v>
      </c>
      <c r="B25" s="153">
        <f>$B$6*(1+$B$7)^(A25-1)</f>
        <v/>
      </c>
      <c r="C25" s="153">
        <f>$B$10*(1+$B$11)^(A25-1)</f>
        <v/>
      </c>
      <c r="D25" s="153">
        <f>$B$8+INT((A25-1)/$B$9)</f>
        <v/>
      </c>
      <c r="E25" s="154">
        <f>B25/$B$16</f>
        <v/>
      </c>
      <c r="F25" s="154">
        <f>C25/$C$16</f>
        <v/>
      </c>
      <c r="G25" s="155" t="inlineStr">
        <is>
          <t>Zone 2 boss floor</t>
        </is>
      </c>
    </row>
    <row r="26" ht="15" customHeight="1" s="121">
      <c r="A26" s="148" t="n">
        <v>11</v>
      </c>
      <c r="B26" s="149">
        <f>$B$6*(1+$B$7)^(A26-1)</f>
        <v/>
      </c>
      <c r="C26" s="149">
        <f>$B$10*(1+$B$11)^(A26-1)</f>
        <v/>
      </c>
      <c r="D26" s="149">
        <f>$B$8+INT((A26-1)/$B$9)</f>
        <v/>
      </c>
      <c r="E26" s="150">
        <f>B26/$B$16</f>
        <v/>
      </c>
      <c r="F26" s="150">
        <f>C26/$C$16</f>
        <v/>
      </c>
      <c r="G26" s="151" t="n"/>
    </row>
    <row r="27" ht="15" customHeight="1" s="121">
      <c r="A27" s="152" t="n">
        <v>12</v>
      </c>
      <c r="B27" s="153">
        <f>$B$6*(1+$B$7)^(A27-1)</f>
        <v/>
      </c>
      <c r="C27" s="153">
        <f>$B$10*(1+$B$11)^(A27-1)</f>
        <v/>
      </c>
      <c r="D27" s="153">
        <f>$B$8+INT((A27-1)/$B$9)</f>
        <v/>
      </c>
      <c r="E27" s="154">
        <f>B27/$B$16</f>
        <v/>
      </c>
      <c r="F27" s="154">
        <f>C27/$C$16</f>
        <v/>
      </c>
      <c r="G27" s="155" t="n"/>
    </row>
    <row r="28" ht="15" customHeight="1" s="121">
      <c r="A28" s="148" t="n">
        <v>13</v>
      </c>
      <c r="B28" s="149">
        <f>$B$6*(1+$B$7)^(A28-1)</f>
        <v/>
      </c>
      <c r="C28" s="149">
        <f>$B$10*(1+$B$11)^(A28-1)</f>
        <v/>
      </c>
      <c r="D28" s="149">
        <f>$B$8+INT((A28-1)/$B$9)</f>
        <v/>
      </c>
      <c r="E28" s="150">
        <f>B28/$B$16</f>
        <v/>
      </c>
      <c r="F28" s="150">
        <f>C28/$C$16</f>
        <v/>
      </c>
      <c r="G28" s="151" t="n"/>
    </row>
    <row r="29" ht="15" customHeight="1" s="121">
      <c r="A29" s="152" t="n">
        <v>14</v>
      </c>
      <c r="B29" s="153">
        <f>$B$6*(1+$B$7)^(A29-1)</f>
        <v/>
      </c>
      <c r="C29" s="153">
        <f>$B$10*(1+$B$11)^(A29-1)</f>
        <v/>
      </c>
      <c r="D29" s="153">
        <f>$B$8+INT((A29-1)/$B$9)</f>
        <v/>
      </c>
      <c r="E29" s="154">
        <f>B29/$B$16</f>
        <v/>
      </c>
      <c r="F29" s="154">
        <f>C29/$C$16</f>
        <v/>
      </c>
      <c r="G29" s="155" t="n"/>
    </row>
    <row r="30" ht="15" customHeight="1" s="121">
      <c r="A30" s="148" t="n">
        <v>15</v>
      </c>
      <c r="B30" s="149">
        <f>$B$6*(1+$B$7)^(A30-1)</f>
        <v/>
      </c>
      <c r="C30" s="149">
        <f>$B$10*(1+$B$11)^(A30-1)</f>
        <v/>
      </c>
      <c r="D30" s="149">
        <f>$B$8+INT((A30-1)/$B$9)</f>
        <v/>
      </c>
      <c r="E30" s="150">
        <f>B30/$B$16</f>
        <v/>
      </c>
      <c r="F30" s="150">
        <f>C30/$C$16</f>
        <v/>
      </c>
      <c r="G30" s="151" t="inlineStr">
        <is>
          <t>Zone 3 boss floor</t>
        </is>
      </c>
    </row>
    <row r="31" ht="15" customHeight="1" s="121">
      <c r="A31" s="152" t="n">
        <v>16</v>
      </c>
      <c r="B31" s="153">
        <f>$B$6*(1+$B$7)^(A31-1)</f>
        <v/>
      </c>
      <c r="C31" s="153">
        <f>$B$10*(1+$B$11)^(A31-1)</f>
        <v/>
      </c>
      <c r="D31" s="153">
        <f>$B$8+INT((A31-1)/$B$9)</f>
        <v/>
      </c>
      <c r="E31" s="154">
        <f>B31/$B$16</f>
        <v/>
      </c>
      <c r="F31" s="154">
        <f>C31/$C$16</f>
        <v/>
      </c>
      <c r="G31" s="155" t="n"/>
    </row>
    <row r="32" ht="15" customHeight="1" s="121">
      <c r="A32" s="148" t="n">
        <v>17</v>
      </c>
      <c r="B32" s="149">
        <f>$B$6*(1+$B$7)^(A32-1)</f>
        <v/>
      </c>
      <c r="C32" s="149">
        <f>$B$10*(1+$B$11)^(A32-1)</f>
        <v/>
      </c>
      <c r="D32" s="149">
        <f>$B$8+INT((A32-1)/$B$9)</f>
        <v/>
      </c>
      <c r="E32" s="150">
        <f>B32/$B$16</f>
        <v/>
      </c>
      <c r="F32" s="150">
        <f>C32/$C$16</f>
        <v/>
      </c>
      <c r="G32" s="151" t="n"/>
    </row>
    <row r="33" ht="15" customHeight="1" s="121">
      <c r="A33" s="152" t="n">
        <v>18</v>
      </c>
      <c r="B33" s="153">
        <f>$B$6*(1+$B$7)^(A33-1)</f>
        <v/>
      </c>
      <c r="C33" s="153">
        <f>$B$10*(1+$B$11)^(A33-1)</f>
        <v/>
      </c>
      <c r="D33" s="153">
        <f>$B$8+INT((A33-1)/$B$9)</f>
        <v/>
      </c>
      <c r="E33" s="154">
        <f>B33/$B$16</f>
        <v/>
      </c>
      <c r="F33" s="154">
        <f>C33/$C$16</f>
        <v/>
      </c>
      <c r="G33" s="155" t="n"/>
    </row>
    <row r="34" ht="15" customHeight="1" s="121">
      <c r="A34" s="148" t="n">
        <v>19</v>
      </c>
      <c r="B34" s="149">
        <f>$B$6*(1+$B$7)^(A34-1)</f>
        <v/>
      </c>
      <c r="C34" s="149">
        <f>$B$10*(1+$B$11)^(A34-1)</f>
        <v/>
      </c>
      <c r="D34" s="149">
        <f>$B$8+INT((A34-1)/$B$9)</f>
        <v/>
      </c>
      <c r="E34" s="150">
        <f>B34/$B$16</f>
        <v/>
      </c>
      <c r="F34" s="150">
        <f>C34/$C$16</f>
        <v/>
      </c>
      <c r="G34" s="151" t="n"/>
    </row>
    <row r="35" ht="15" customHeight="1" s="121">
      <c r="A35" s="152" t="n">
        <v>20</v>
      </c>
      <c r="B35" s="153">
        <f>$B$6*(1+$B$7)^(A35-1)</f>
        <v/>
      </c>
      <c r="C35" s="153">
        <f>$B$10*(1+$B$11)^(A35-1)</f>
        <v/>
      </c>
      <c r="D35" s="153">
        <f>$B$8+INT((A35-1)/$B$9)</f>
        <v/>
      </c>
      <c r="E35" s="154">
        <f>B35/$B$16</f>
        <v/>
      </c>
      <c r="F35" s="154">
        <f>C35/$C$16</f>
        <v/>
      </c>
      <c r="G35" s="155" t="inlineStr">
        <is>
          <t>Zone 4 boss floor</t>
        </is>
      </c>
    </row>
    <row r="36" ht="15" customHeight="1" s="121">
      <c r="A36" s="148" t="n"/>
      <c r="B36" s="149" t="n"/>
      <c r="C36" s="149" t="n"/>
      <c r="D36" s="149" t="n"/>
      <c r="E36" s="150" t="n"/>
      <c r="F36" s="150" t="n"/>
      <c r="G36" s="151" t="n"/>
    </row>
    <row r="37" ht="15" customHeight="1" s="121">
      <c r="A37" s="152" t="n"/>
      <c r="B37" s="153" t="n"/>
      <c r="C37" s="153" t="n"/>
      <c r="D37" s="153" t="n"/>
      <c r="E37" s="154" t="n"/>
      <c r="F37" s="154" t="n"/>
      <c r="G37" s="155" t="n"/>
    </row>
    <row r="38" ht="15" customHeight="1" s="121">
      <c r="A38" s="148" t="n"/>
      <c r="B38" s="149" t="n"/>
      <c r="C38" s="149" t="n"/>
      <c r="D38" s="149" t="n"/>
      <c r="E38" s="150" t="n"/>
      <c r="F38" s="150" t="n"/>
      <c r="G38" s="151" t="n"/>
    </row>
    <row r="39" ht="15" customHeight="1" s="121">
      <c r="A39" s="152" t="n"/>
      <c r="B39" s="153" t="n"/>
      <c r="C39" s="153" t="n"/>
      <c r="D39" s="153" t="n"/>
      <c r="E39" s="154" t="n"/>
      <c r="F39" s="154" t="n"/>
      <c r="G39" s="155" t="n"/>
    </row>
    <row r="40" ht="15" customHeight="1" s="121">
      <c r="A40" s="148" t="n"/>
      <c r="B40" s="149" t="n"/>
      <c r="C40" s="149" t="n"/>
      <c r="D40" s="149" t="n"/>
      <c r="E40" s="150" t="n"/>
      <c r="F40" s="150" t="n"/>
      <c r="G40" s="151" t="n"/>
    </row>
    <row r="41" ht="15" customHeight="1" s="121">
      <c r="A41" s="152" t="n"/>
      <c r="B41" s="153" t="n"/>
      <c r="C41" s="153" t="n"/>
      <c r="D41" s="153" t="n"/>
      <c r="E41" s="154" t="n"/>
      <c r="F41" s="154" t="n"/>
      <c r="G41" s="155" t="n"/>
    </row>
    <row r="42" ht="15" customHeight="1" s="121">
      <c r="A42" s="148" t="n"/>
      <c r="B42" s="149" t="n"/>
      <c r="C42" s="149" t="n"/>
      <c r="D42" s="149" t="n"/>
      <c r="E42" s="150" t="n"/>
      <c r="F42" s="150" t="n"/>
      <c r="G42" s="151" t="n"/>
    </row>
    <row r="43" ht="15" customHeight="1" s="121">
      <c r="A43" s="152" t="n"/>
      <c r="B43" s="153" t="n"/>
      <c r="C43" s="153" t="n"/>
      <c r="D43" s="153" t="n"/>
      <c r="E43" s="154" t="n"/>
      <c r="F43" s="154" t="n"/>
      <c r="G43" s="155" t="n"/>
    </row>
    <row r="44" ht="15" customHeight="1" s="121">
      <c r="A44" s="148" t="n"/>
      <c r="B44" s="149" t="n"/>
      <c r="C44" s="149" t="n"/>
      <c r="D44" s="149" t="n"/>
      <c r="E44" s="150" t="n"/>
      <c r="F44" s="150" t="n"/>
      <c r="G44" s="151" t="n"/>
    </row>
    <row r="45" ht="15" customHeight="1" s="121">
      <c r="A45" s="152" t="n"/>
      <c r="B45" s="153" t="n"/>
      <c r="C45" s="153" t="n"/>
      <c r="D45" s="153" t="n"/>
      <c r="E45" s="154" t="n"/>
      <c r="F45" s="154" t="n"/>
      <c r="G45" s="155" t="n"/>
    </row>
  </sheetData>
  <mergeCells count="4">
    <mergeCell ref="A14:G14"/>
    <mergeCell ref="A2:G2"/>
    <mergeCell ref="A1:G1"/>
    <mergeCell ref="A4:G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74"/>
  <sheetViews>
    <sheetView showFormulas="0" showGridLines="0" showRowColHeaders="1" showZeros="1" rightToLeft="0" tabSelected="0" showOutlineSymbols="1" defaultGridColor="1"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20" min="1" max="1"/>
    <col width="14" customWidth="1" style="120" min="2" max="2"/>
    <col width="16" customWidth="1" style="120" min="3" max="4"/>
    <col width="14" customWidth="1" style="120" min="5" max="5"/>
    <col width="50" customWidth="1" style="120" min="6" max="6"/>
  </cols>
  <sheetData>
    <row r="1" ht="19.5" customHeight="1" s="121">
      <c r="A1" s="122" t="inlineStr">
        <is>
          <t>XP &amp; LEVEL CURVE</t>
        </is>
      </c>
    </row>
    <row r="2" ht="15" customHeight="1" s="121">
      <c r="A2" s="123" t="inlineStr">
        <is>
          <t>XP required per level + cumulative + unlocks. Drives the leveling pace in Run Pacing (batch 2).</t>
        </is>
      </c>
    </row>
    <row r="4" ht="21.75" customHeight="1" s="121">
      <c r="A4" s="129" t="inlineStr">
        <is>
          <t>DRIVER INPUTS</t>
        </is>
      </c>
    </row>
    <row r="5" ht="15" customHeight="1" s="121">
      <c r="A5" s="128" t="inlineStr">
        <is>
          <t>Driver</t>
        </is>
      </c>
      <c r="B5" s="128" t="inlineStr">
        <is>
          <t>Value</t>
        </is>
      </c>
    </row>
    <row r="6" ht="15" customHeight="1" s="121">
      <c r="A6" s="145" t="inlineStr">
        <is>
          <t>xp_base</t>
        </is>
      </c>
      <c r="B6" s="146">
        <f>Assumptions!$C$19</f>
        <v/>
      </c>
    </row>
    <row r="7" ht="15" customHeight="1" s="121">
      <c r="A7" s="145" t="inlineStr">
        <is>
          <t>xp_growth_per_level</t>
        </is>
      </c>
      <c r="B7" s="147">
        <f>Assumptions!$C$20</f>
        <v/>
      </c>
    </row>
    <row r="8" ht="15" customHeight="1" s="121">
      <c r="A8" s="145" t="inlineStr">
        <is>
          <t>level_cap</t>
        </is>
      </c>
      <c r="B8" s="146">
        <f>Assumptions!$C$7</f>
        <v/>
      </c>
    </row>
    <row r="10" ht="21.75" customHeight="1" s="121">
      <c r="A10" s="129" t="inlineStr">
        <is>
          <t>PER-LEVEL TABLE</t>
        </is>
      </c>
    </row>
    <row r="11" ht="27.75" customHeight="1" s="121">
      <c r="A11" s="128" t="inlineStr">
        <is>
          <t>Level</t>
        </is>
      </c>
      <c r="B11" s="128" t="inlineStr">
        <is>
          <t>XP to next</t>
        </is>
      </c>
      <c r="C11" s="128" t="inlineStr">
        <is>
          <t>Cumulative XP</t>
        </is>
      </c>
      <c r="D11" s="128" t="inlineStr">
        <is>
          <t>XP vs Level 1</t>
        </is>
      </c>
      <c r="E11" s="128" t="inlineStr">
        <is>
          <t>Unlocks at this level</t>
        </is>
      </c>
      <c r="F11" s="128" t="inlineStr">
        <is>
          <t>Notes</t>
        </is>
      </c>
    </row>
    <row r="12" ht="15" customHeight="1" s="121">
      <c r="A12" s="148" t="n">
        <v>1</v>
      </c>
      <c r="B12" s="149">
        <f>ROUND($B$6*(1+$B$7)^(A12-1),0)</f>
        <v/>
      </c>
      <c r="C12" s="149">
        <f>0</f>
        <v/>
      </c>
      <c r="D12" s="150">
        <f>B12/$B$12</f>
        <v/>
      </c>
      <c r="E12" s="151" t="inlineStr">
        <is>
          <t>Tutorial / Floor 0 access</t>
        </is>
      </c>
    </row>
    <row r="13" ht="15" customHeight="1" s="121">
      <c r="A13" s="148" t="n">
        <v>2</v>
      </c>
      <c r="B13" s="149">
        <f>ROUND($B$6*(1+$B$7)^(A13-1),0)</f>
        <v/>
      </c>
      <c r="C13" s="149">
        <f>C12+B12</f>
        <v/>
      </c>
      <c r="D13" s="150">
        <f>B13/$B$12</f>
        <v/>
      </c>
      <c r="E13" s="151" t="inlineStr">
        <is>
          <t>First mutation slot</t>
        </is>
      </c>
    </row>
    <row r="14" ht="15" customHeight="1" s="121">
      <c r="A14" s="148" t="n">
        <v>3</v>
      </c>
      <c r="B14" s="149">
        <f>ROUND($B$6*(1+$B$7)^(A14-1),0)</f>
        <v/>
      </c>
      <c r="C14" s="149">
        <f>C13+B13</f>
        <v/>
      </c>
      <c r="D14" s="150">
        <f>B14/$B$12</f>
        <v/>
      </c>
      <c r="E14" s="151" t="inlineStr">
        <is>
          <t>Codex unlock</t>
        </is>
      </c>
    </row>
    <row r="15" ht="15" customHeight="1" s="121">
      <c r="A15" s="148" t="n">
        <v>4</v>
      </c>
      <c r="B15" s="149">
        <f>ROUND($B$6*(1+$B$7)^(A15-1),0)</f>
        <v/>
      </c>
      <c r="C15" s="149">
        <f>C14+B14</f>
        <v/>
      </c>
      <c r="D15" s="150">
        <f>B15/$B$12</f>
        <v/>
      </c>
      <c r="E15" s="151" t="n"/>
    </row>
    <row r="16" ht="15" customHeight="1" s="121">
      <c r="A16" s="152" t="n">
        <v>5</v>
      </c>
      <c r="B16" s="153">
        <f>ROUND($B$6*(1+$B$7)^(A16-1),0)</f>
        <v/>
      </c>
      <c r="C16" s="153">
        <f>C15+B15</f>
        <v/>
      </c>
      <c r="D16" s="154">
        <f>B16/$B$12</f>
        <v/>
      </c>
      <c r="E16" s="155" t="inlineStr">
        <is>
          <t>Second mutation slot</t>
        </is>
      </c>
      <c r="F16" s="156" t="n"/>
    </row>
    <row r="17" ht="15" customHeight="1" s="121">
      <c r="A17" s="148" t="n">
        <v>6</v>
      </c>
      <c r="B17" s="149">
        <f>ROUND($B$6*(1+$B$7)^(A17-1),0)</f>
        <v/>
      </c>
      <c r="C17" s="149">
        <f>C16+B16</f>
        <v/>
      </c>
      <c r="D17" s="150">
        <f>B17/$B$12</f>
        <v/>
      </c>
      <c r="E17" s="151" t="n"/>
    </row>
    <row r="18" ht="15" customHeight="1" s="121">
      <c r="A18" s="148" t="n">
        <v>7</v>
      </c>
      <c r="B18" s="149">
        <f>ROUND($B$6*(1+$B$7)^(A18-1),0)</f>
        <v/>
      </c>
      <c r="C18" s="149">
        <f>C17+B17</f>
        <v/>
      </c>
      <c r="D18" s="150">
        <f>B18/$B$12</f>
        <v/>
      </c>
      <c r="E18" s="151" t="n"/>
    </row>
    <row r="19" ht="15" customHeight="1" s="121">
      <c r="A19" s="148" t="n">
        <v>8</v>
      </c>
      <c r="B19" s="149">
        <f>ROUND($B$6*(1+$B$7)^(A19-1),0)</f>
        <v/>
      </c>
      <c r="C19" s="149">
        <f>C18+B18</f>
        <v/>
      </c>
      <c r="D19" s="150">
        <f>B19/$B$12</f>
        <v/>
      </c>
      <c r="E19" s="151" t="inlineStr">
        <is>
          <t>Crafting bench (Mod combine)</t>
        </is>
      </c>
    </row>
    <row r="20" ht="15" customHeight="1" s="121">
      <c r="A20" s="148" t="n">
        <v>9</v>
      </c>
      <c r="B20" s="149">
        <f>ROUND($B$6*(1+$B$7)^(A20-1),0)</f>
        <v/>
      </c>
      <c r="C20" s="149">
        <f>C19+B19</f>
        <v/>
      </c>
      <c r="D20" s="150">
        <f>B20/$B$12</f>
        <v/>
      </c>
      <c r="E20" s="151" t="n"/>
    </row>
    <row r="21" ht="15" customHeight="1" s="121">
      <c r="A21" s="152" t="n">
        <v>10</v>
      </c>
      <c r="B21" s="153">
        <f>ROUND($B$6*(1+$B$7)^(A21-1),0)</f>
        <v/>
      </c>
      <c r="C21" s="153">
        <f>C20+B20</f>
        <v/>
      </c>
      <c r="D21" s="154">
        <f>B21/$B$12</f>
        <v/>
      </c>
      <c r="E21" s="155" t="inlineStr">
        <is>
          <t>Third mutation slot</t>
        </is>
      </c>
      <c r="F21" s="156" t="n"/>
    </row>
    <row r="22" ht="15" customHeight="1" s="121">
      <c r="A22" s="148" t="n">
        <v>11</v>
      </c>
      <c r="B22" s="149">
        <f>ROUND($B$6*(1+$B$7)^(A22-1),0)</f>
        <v/>
      </c>
      <c r="C22" s="149">
        <f>C21+B21</f>
        <v/>
      </c>
      <c r="D22" s="150">
        <f>B22/$B$12</f>
        <v/>
      </c>
      <c r="E22" s="151" t="n"/>
    </row>
    <row r="23" ht="15" customHeight="1" s="121">
      <c r="A23" s="148" t="n">
        <v>12</v>
      </c>
      <c r="B23" s="149">
        <f>ROUND($B$6*(1+$B$7)^(A23-1),0)</f>
        <v/>
      </c>
      <c r="C23" s="149">
        <f>C22+B22</f>
        <v/>
      </c>
      <c r="D23" s="150">
        <f>B23/$B$12</f>
        <v/>
      </c>
      <c r="E23" s="151" t="inlineStr">
        <is>
          <t>Daily Strand challenge unlocked</t>
        </is>
      </c>
    </row>
    <row r="24" ht="15" customHeight="1" s="121">
      <c r="A24" s="148" t="n">
        <v>13</v>
      </c>
      <c r="B24" s="149">
        <f>ROUND($B$6*(1+$B$7)^(A24-1),0)</f>
        <v/>
      </c>
      <c r="C24" s="149">
        <f>C23+B23</f>
        <v/>
      </c>
      <c r="D24" s="150">
        <f>B24/$B$12</f>
        <v/>
      </c>
      <c r="E24" s="151" t="n"/>
    </row>
    <row r="25" ht="15" customHeight="1" s="121">
      <c r="A25" s="148" t="n">
        <v>14</v>
      </c>
      <c r="B25" s="149">
        <f>ROUND($B$6*(1+$B$7)^(A25-1),0)</f>
        <v/>
      </c>
      <c r="C25" s="149">
        <f>C24+B24</f>
        <v/>
      </c>
      <c r="D25" s="150">
        <f>B25/$B$12</f>
        <v/>
      </c>
      <c r="E25" s="151" t="n"/>
    </row>
    <row r="26" ht="15" customHeight="1" s="121">
      <c r="A26" s="152" t="n">
        <v>15</v>
      </c>
      <c r="B26" s="153">
        <f>ROUND($B$6*(1+$B$7)^(A26-1),0)</f>
        <v/>
      </c>
      <c r="C26" s="153">
        <f>C25+B25</f>
        <v/>
      </c>
      <c r="D26" s="154">
        <f>B26/$B$12</f>
        <v/>
      </c>
      <c r="E26" s="155" t="inlineStr">
        <is>
          <t>Loadout presets (3 slots)</t>
        </is>
      </c>
      <c r="F26" s="156" t="n"/>
    </row>
    <row r="27" ht="15" customHeight="1" s="121">
      <c r="A27" s="148" t="n">
        <v>16</v>
      </c>
      <c r="B27" s="149">
        <f>ROUND($B$6*(1+$B$7)^(A27-1),0)</f>
        <v/>
      </c>
      <c r="C27" s="149">
        <f>C26+B26</f>
        <v/>
      </c>
      <c r="D27" s="150">
        <f>B27/$B$12</f>
        <v/>
      </c>
      <c r="E27" s="151" t="n"/>
    </row>
    <row r="28" ht="15" customHeight="1" s="121">
      <c r="A28" s="148" t="n">
        <v>17</v>
      </c>
      <c r="B28" s="149">
        <f>ROUND($B$6*(1+$B$7)^(A28-1),0)</f>
        <v/>
      </c>
      <c r="C28" s="149">
        <f>C27+B27</f>
        <v/>
      </c>
      <c r="D28" s="150">
        <f>B28/$B$12</f>
        <v/>
      </c>
      <c r="E28" s="151" t="n"/>
    </row>
    <row r="29" ht="15" customHeight="1" s="121">
      <c r="A29" s="148" t="n">
        <v>18</v>
      </c>
      <c r="B29" s="149">
        <f>ROUND($B$6*(1+$B$7)^(A29-1),0)</f>
        <v/>
      </c>
      <c r="C29" s="149">
        <f>C28+B28</f>
        <v/>
      </c>
      <c r="D29" s="150">
        <f>B29/$B$12</f>
        <v/>
      </c>
      <c r="E29" s="151" t="inlineStr">
        <is>
          <t>Weekly Strand event unlocked</t>
        </is>
      </c>
    </row>
    <row r="30" ht="15" customHeight="1" s="121">
      <c r="A30" s="148" t="n">
        <v>19</v>
      </c>
      <c r="B30" s="149">
        <f>ROUND($B$6*(1+$B$7)^(A30-1),0)</f>
        <v/>
      </c>
      <c r="C30" s="149">
        <f>C29+B29</f>
        <v/>
      </c>
      <c r="D30" s="150">
        <f>B30/$B$12</f>
        <v/>
      </c>
      <c r="E30" s="151" t="n"/>
    </row>
    <row r="31" ht="15" customHeight="1" s="121">
      <c r="A31" s="152" t="n">
        <v>20</v>
      </c>
      <c r="B31" s="153">
        <f>ROUND($B$6*(1+$B$7)^(A31-1),0)</f>
        <v/>
      </c>
      <c r="C31" s="153">
        <f>C30+B30</f>
        <v/>
      </c>
      <c r="D31" s="154">
        <f>B31/$B$12</f>
        <v/>
      </c>
      <c r="E31" s="155" t="inlineStr">
        <is>
          <t>Fourth mutation slot</t>
        </is>
      </c>
      <c r="F31" s="156" t="n"/>
    </row>
    <row r="32" ht="15" customHeight="1" s="121">
      <c r="A32" s="148" t="n">
        <v>21</v>
      </c>
      <c r="B32" s="149">
        <f>ROUND($B$6*(1+$B$7)^(A32-1),0)</f>
        <v/>
      </c>
      <c r="C32" s="149">
        <f>C31+B31</f>
        <v/>
      </c>
      <c r="D32" s="150">
        <f>B32/$B$12</f>
        <v/>
      </c>
      <c r="E32" s="151" t="n"/>
    </row>
    <row r="33" ht="15" customHeight="1" s="121">
      <c r="A33" s="148" t="n">
        <v>22</v>
      </c>
      <c r="B33" s="149">
        <f>ROUND($B$6*(1+$B$7)^(A33-1),0)</f>
        <v/>
      </c>
      <c r="C33" s="149">
        <f>C32+B32</f>
        <v/>
      </c>
      <c r="D33" s="150">
        <f>B33/$B$12</f>
        <v/>
      </c>
      <c r="E33" s="151" t="n"/>
    </row>
    <row r="34" ht="15" customHeight="1" s="121">
      <c r="A34" s="148" t="n">
        <v>23</v>
      </c>
      <c r="B34" s="149">
        <f>ROUND($B$6*(1+$B$7)^(A34-1),0)</f>
        <v/>
      </c>
      <c r="C34" s="149">
        <f>C33+B33</f>
        <v/>
      </c>
      <c r="D34" s="150">
        <f>B34/$B$12</f>
        <v/>
      </c>
      <c r="E34" s="151" t="n"/>
    </row>
    <row r="35" ht="15" customHeight="1" s="121">
      <c r="A35" s="148" t="n">
        <v>24</v>
      </c>
      <c r="B35" s="149">
        <f>ROUND($B$6*(1+$B$7)^(A35-1),0)</f>
        <v/>
      </c>
      <c r="C35" s="149">
        <f>C34+B34</f>
        <v/>
      </c>
      <c r="D35" s="150">
        <f>B35/$B$12</f>
        <v/>
      </c>
      <c r="E35" s="151" t="n"/>
    </row>
    <row r="36" ht="15" customHeight="1" s="121">
      <c r="A36" s="152" t="n">
        <v>25</v>
      </c>
      <c r="B36" s="153">
        <f>ROUND($B$6*(1+$B$7)^(A36-1),0)</f>
        <v/>
      </c>
      <c r="C36" s="153">
        <f>C35+B35</f>
        <v/>
      </c>
      <c r="D36" s="154">
        <f>B36/$B$12</f>
        <v/>
      </c>
      <c r="E36" s="155" t="inlineStr">
        <is>
          <t>Prestige Tier I unlocks</t>
        </is>
      </c>
      <c r="F36" s="156" t="n"/>
    </row>
    <row r="37" ht="15" customHeight="1" s="121">
      <c r="A37" s="148" t="n">
        <v>26</v>
      </c>
      <c r="B37" s="149">
        <f>ROUND($B$6*(1+$B$7)^(A37-1),0)</f>
        <v/>
      </c>
      <c r="C37" s="149">
        <f>C36+B36</f>
        <v/>
      </c>
      <c r="D37" s="150">
        <f>B37/$B$12</f>
        <v/>
      </c>
      <c r="E37" s="151" t="n"/>
    </row>
    <row r="38" ht="15" customHeight="1" s="121">
      <c r="A38" s="148" t="n">
        <v>27</v>
      </c>
      <c r="B38" s="149">
        <f>ROUND($B$6*(1+$B$7)^(A38-1),0)</f>
        <v/>
      </c>
      <c r="C38" s="149">
        <f>C37+B37</f>
        <v/>
      </c>
      <c r="D38" s="150">
        <f>B38/$B$12</f>
        <v/>
      </c>
      <c r="E38" s="151" t="n"/>
    </row>
    <row r="39" ht="15" customHeight="1" s="121">
      <c r="A39" s="148" t="n">
        <v>28</v>
      </c>
      <c r="B39" s="149">
        <f>ROUND($B$6*(1+$B$7)^(A39-1),0)</f>
        <v/>
      </c>
      <c r="C39" s="149">
        <f>C38+B38</f>
        <v/>
      </c>
      <c r="D39" s="150">
        <f>B39/$B$12</f>
        <v/>
      </c>
      <c r="E39" s="151" t="n"/>
    </row>
    <row r="40" ht="15" customHeight="1" s="121">
      <c r="A40" s="148" t="n">
        <v>29</v>
      </c>
      <c r="B40" s="149">
        <f>ROUND($B$6*(1+$B$7)^(A40-1),0)</f>
        <v/>
      </c>
      <c r="C40" s="149">
        <f>C39+B39</f>
        <v/>
      </c>
      <c r="D40" s="150">
        <f>B40/$B$12</f>
        <v/>
      </c>
      <c r="E40" s="151" t="n"/>
    </row>
    <row r="41" ht="15" customHeight="1" s="121">
      <c r="A41" s="152" t="n">
        <v>30</v>
      </c>
      <c r="B41" s="153">
        <f>ROUND($B$6*(1+$B$7)^(A41-1),0)</f>
        <v/>
      </c>
      <c r="C41" s="153">
        <f>C40+B40</f>
        <v/>
      </c>
      <c r="D41" s="154">
        <f>B41/$B$12</f>
        <v/>
      </c>
      <c r="E41" s="155" t="inlineStr">
        <is>
          <t>Endgame Floor 30 boss eligible</t>
        </is>
      </c>
      <c r="F41" s="156" t="n"/>
    </row>
    <row r="42" ht="15" customHeight="1" s="121">
      <c r="A42" s="148" t="n">
        <v>31</v>
      </c>
      <c r="B42" s="149">
        <f>ROUND($B$6*(1+$B$7)^(A42-1),0)</f>
        <v/>
      </c>
      <c r="C42" s="149">
        <f>C41+B41</f>
        <v/>
      </c>
      <c r="D42" s="150">
        <f>B42/$B$12</f>
        <v/>
      </c>
      <c r="E42" s="151" t="n"/>
    </row>
    <row r="43" ht="15" customHeight="1" s="121">
      <c r="A43" s="148" t="n">
        <v>32</v>
      </c>
      <c r="B43" s="149">
        <f>ROUND($B$6*(1+$B$7)^(A43-1),0)</f>
        <v/>
      </c>
      <c r="C43" s="149">
        <f>C42+B42</f>
        <v/>
      </c>
      <c r="D43" s="150">
        <f>B43/$B$12</f>
        <v/>
      </c>
      <c r="E43" s="151" t="n"/>
    </row>
    <row r="44" ht="15" customHeight="1" s="121">
      <c r="A44" s="148" t="n">
        <v>33</v>
      </c>
      <c r="B44" s="149">
        <f>ROUND($B$6*(1+$B$7)^(A44-1),0)</f>
        <v/>
      </c>
      <c r="C44" s="149">
        <f>C43+B43</f>
        <v/>
      </c>
      <c r="D44" s="150">
        <f>B44/$B$12</f>
        <v/>
      </c>
      <c r="E44" s="151" t="n"/>
    </row>
    <row r="45" ht="15" customHeight="1" s="121">
      <c r="A45" s="148" t="n">
        <v>34</v>
      </c>
      <c r="B45" s="149">
        <f>ROUND($B$6*(1+$B$7)^(A45-1),0)</f>
        <v/>
      </c>
      <c r="C45" s="149">
        <f>C44+B44</f>
        <v/>
      </c>
      <c r="D45" s="150">
        <f>B45/$B$12</f>
        <v/>
      </c>
      <c r="E45" s="151" t="n"/>
    </row>
    <row r="46" ht="15" customHeight="1" s="121">
      <c r="A46" s="152" t="n">
        <v>35</v>
      </c>
      <c r="B46" s="153">
        <f>ROUND($B$6*(1+$B$7)^(A46-1),0)</f>
        <v/>
      </c>
      <c r="C46" s="153">
        <f>C45+B45</f>
        <v/>
      </c>
      <c r="D46" s="154">
        <f>B46/$B$12</f>
        <v/>
      </c>
      <c r="E46" s="155" t="inlineStr">
        <is>
          <t>Prestige Tier II unlocks</t>
        </is>
      </c>
      <c r="F46" s="156" t="n"/>
    </row>
    <row r="47" ht="15" customHeight="1" s="121">
      <c r="A47" s="148" t="n">
        <v>36</v>
      </c>
      <c r="B47" s="149">
        <f>ROUND($B$6*(1+$B$7)^(A47-1),0)</f>
        <v/>
      </c>
      <c r="C47" s="149">
        <f>C46+B46</f>
        <v/>
      </c>
      <c r="D47" s="150">
        <f>B47/$B$12</f>
        <v/>
      </c>
      <c r="E47" s="151" t="n"/>
    </row>
    <row r="48" ht="15" customHeight="1" s="121">
      <c r="A48" s="148" t="n">
        <v>37</v>
      </c>
      <c r="B48" s="149">
        <f>ROUND($B$6*(1+$B$7)^(A48-1),0)</f>
        <v/>
      </c>
      <c r="C48" s="149">
        <f>C47+B47</f>
        <v/>
      </c>
      <c r="D48" s="150">
        <f>B48/$B$12</f>
        <v/>
      </c>
      <c r="E48" s="151" t="n"/>
    </row>
    <row r="49" ht="15" customHeight="1" s="121">
      <c r="A49" s="148" t="n">
        <v>38</v>
      </c>
      <c r="B49" s="149">
        <f>ROUND($B$6*(1+$B$7)^(A49-1),0)</f>
        <v/>
      </c>
      <c r="C49" s="149">
        <f>C48+B48</f>
        <v/>
      </c>
      <c r="D49" s="150">
        <f>B49/$B$12</f>
        <v/>
      </c>
      <c r="E49" s="151" t="n"/>
    </row>
    <row r="50" ht="15" customHeight="1" s="121">
      <c r="A50" s="148" t="n">
        <v>39</v>
      </c>
      <c r="B50" s="149">
        <f>ROUND($B$6*(1+$B$7)^(A50-1),0)</f>
        <v/>
      </c>
      <c r="C50" s="149">
        <f>C49+B49</f>
        <v/>
      </c>
      <c r="D50" s="150">
        <f>B50/$B$12</f>
        <v/>
      </c>
      <c r="E50" s="151" t="n"/>
    </row>
    <row r="51" ht="15" customHeight="1" s="121">
      <c r="A51" s="152" t="n">
        <v>40</v>
      </c>
      <c r="B51" s="153">
        <f>ROUND($B$6*(1+$B$7)^(A51-1),0)</f>
        <v/>
      </c>
      <c r="C51" s="153">
        <f>C50+B50</f>
        <v/>
      </c>
      <c r="D51" s="154">
        <f>B51/$B$12</f>
        <v/>
      </c>
      <c r="E51" s="155" t="inlineStr">
        <is>
          <t>Endless mode unlocks</t>
        </is>
      </c>
      <c r="F51" s="156" t="n"/>
    </row>
    <row r="52" ht="15" customHeight="1" s="121">
      <c r="A52" s="148" t="n">
        <v>41</v>
      </c>
      <c r="B52" s="149">
        <f>ROUND($B$6*(1+$B$7)^(A52-1),0)</f>
        <v/>
      </c>
      <c r="C52" s="149">
        <f>C51+B51</f>
        <v/>
      </c>
      <c r="D52" s="150">
        <f>B52/$B$12</f>
        <v/>
      </c>
      <c r="E52" s="151" t="n"/>
    </row>
    <row r="53" ht="15" customHeight="1" s="121">
      <c r="A53" s="148" t="n">
        <v>42</v>
      </c>
      <c r="B53" s="149">
        <f>ROUND($B$6*(1+$B$7)^(A53-1),0)</f>
        <v/>
      </c>
      <c r="C53" s="149">
        <f>C52+B52</f>
        <v/>
      </c>
      <c r="D53" s="150">
        <f>B53/$B$12</f>
        <v/>
      </c>
      <c r="E53" s="151" t="n"/>
    </row>
    <row r="54" ht="15" customHeight="1" s="121">
      <c r="A54" s="148" t="n">
        <v>43</v>
      </c>
      <c r="B54" s="149">
        <f>ROUND($B$6*(1+$B$7)^(A54-1),0)</f>
        <v/>
      </c>
      <c r="C54" s="149">
        <f>C53+B53</f>
        <v/>
      </c>
      <c r="D54" s="150">
        <f>B54/$B$12</f>
        <v/>
      </c>
      <c r="E54" s="151" t="n"/>
    </row>
    <row r="55" ht="15" customHeight="1" s="121">
      <c r="A55" s="148" t="n">
        <v>44</v>
      </c>
      <c r="B55" s="149">
        <f>ROUND($B$6*(1+$B$7)^(A55-1),0)</f>
        <v/>
      </c>
      <c r="C55" s="149">
        <f>C54+B54</f>
        <v/>
      </c>
      <c r="D55" s="150">
        <f>B55/$B$12</f>
        <v/>
      </c>
      <c r="E55" s="151" t="n"/>
    </row>
    <row r="56" ht="15" customHeight="1" s="121">
      <c r="A56" s="152" t="n">
        <v>45</v>
      </c>
      <c r="B56" s="153">
        <f>ROUND($B$6*(1+$B$7)^(A56-1),0)</f>
        <v/>
      </c>
      <c r="C56" s="153">
        <f>C55+B55</f>
        <v/>
      </c>
      <c r="D56" s="154">
        <f>B56/$B$12</f>
        <v/>
      </c>
      <c r="E56" s="155" t="n"/>
      <c r="F56" s="156" t="n"/>
    </row>
    <row r="57" ht="15" customHeight="1" s="121">
      <c r="A57" s="148" t="n">
        <v>46</v>
      </c>
      <c r="B57" s="149">
        <f>ROUND($B$6*(1+$B$7)^(A57-1),0)</f>
        <v/>
      </c>
      <c r="C57" s="149">
        <f>C56+B56</f>
        <v/>
      </c>
      <c r="D57" s="150">
        <f>B57/$B$12</f>
        <v/>
      </c>
      <c r="E57" s="151" t="n"/>
    </row>
    <row r="58" ht="15" customHeight="1" s="121">
      <c r="A58" s="148" t="n">
        <v>47</v>
      </c>
      <c r="B58" s="149">
        <f>ROUND($B$6*(1+$B$7)^(A58-1),0)</f>
        <v/>
      </c>
      <c r="C58" s="149">
        <f>C57+B57</f>
        <v/>
      </c>
      <c r="D58" s="150">
        <f>B58/$B$12</f>
        <v/>
      </c>
      <c r="E58" s="151" t="n"/>
    </row>
    <row r="59" ht="15" customHeight="1" s="121">
      <c r="A59" s="148" t="n">
        <v>48</v>
      </c>
      <c r="B59" s="149">
        <f>ROUND($B$6*(1+$B$7)^(A59-1),0)</f>
        <v/>
      </c>
      <c r="C59" s="149">
        <f>C58+B58</f>
        <v/>
      </c>
      <c r="D59" s="150">
        <f>B59/$B$12</f>
        <v/>
      </c>
      <c r="E59" s="151" t="n"/>
    </row>
    <row r="60" ht="15" customHeight="1" s="121">
      <c r="A60" s="148" t="n">
        <v>49</v>
      </c>
      <c r="B60" s="149">
        <f>ROUND($B$6*(1+$B$7)^(A60-1),0)</f>
        <v/>
      </c>
      <c r="C60" s="149">
        <f>C59+B59</f>
        <v/>
      </c>
      <c r="D60" s="150">
        <f>B60/$B$12</f>
        <v/>
      </c>
      <c r="E60" s="151" t="n"/>
    </row>
    <row r="61" ht="15" customHeight="1" s="121">
      <c r="A61" s="152" t="n">
        <v>50</v>
      </c>
      <c r="B61" s="153">
        <f>ROUND($B$6*(1+$B$7)^(A61-1),0)</f>
        <v/>
      </c>
      <c r="C61" s="153">
        <f>C60+B60</f>
        <v/>
      </c>
      <c r="D61" s="154">
        <f>B61/$B$12</f>
        <v/>
      </c>
      <c r="E61" s="155" t="inlineStr">
        <is>
          <t>Prestige Tier III unlocks</t>
        </is>
      </c>
      <c r="F61" s="156" t="n"/>
    </row>
    <row r="62" ht="15" customHeight="1" s="121">
      <c r="A62" s="148" t="n">
        <v>51</v>
      </c>
      <c r="B62" s="149">
        <f>ROUND($B$6*(1+$B$7)^(A62-1),0)</f>
        <v/>
      </c>
      <c r="C62" s="149">
        <f>C61+B61</f>
        <v/>
      </c>
      <c r="D62" s="150">
        <f>B62/$B$12</f>
        <v/>
      </c>
      <c r="E62" s="151" t="n"/>
    </row>
    <row r="63" ht="15" customHeight="1" s="121">
      <c r="A63" s="148" t="n">
        <v>52</v>
      </c>
      <c r="B63" s="149">
        <f>ROUND($B$6*(1+$B$7)^(A63-1),0)</f>
        <v/>
      </c>
      <c r="C63" s="149">
        <f>C62+B62</f>
        <v/>
      </c>
      <c r="D63" s="150">
        <f>B63/$B$12</f>
        <v/>
      </c>
      <c r="E63" s="151" t="n"/>
    </row>
    <row r="64" ht="15" customHeight="1" s="121">
      <c r="A64" s="148" t="n">
        <v>53</v>
      </c>
      <c r="B64" s="149">
        <f>ROUND($B$6*(1+$B$7)^(A64-1),0)</f>
        <v/>
      </c>
      <c r="C64" s="149">
        <f>C63+B63</f>
        <v/>
      </c>
      <c r="D64" s="150">
        <f>B64/$B$12</f>
        <v/>
      </c>
      <c r="E64" s="151" t="n"/>
    </row>
    <row r="65" ht="15" customHeight="1" s="121">
      <c r="A65" s="148" t="n">
        <v>54</v>
      </c>
      <c r="B65" s="149">
        <f>ROUND($B$6*(1+$B$7)^(A65-1),0)</f>
        <v/>
      </c>
      <c r="C65" s="149">
        <f>C64+B64</f>
        <v/>
      </c>
      <c r="D65" s="150">
        <f>B65/$B$12</f>
        <v/>
      </c>
      <c r="E65" s="151" t="n"/>
    </row>
    <row r="66" ht="15" customHeight="1" s="121">
      <c r="A66" s="152" t="n">
        <v>55</v>
      </c>
      <c r="B66" s="153">
        <f>ROUND($B$6*(1+$B$7)^(A66-1),0)</f>
        <v/>
      </c>
      <c r="C66" s="153">
        <f>C65+B65</f>
        <v/>
      </c>
      <c r="D66" s="154">
        <f>B66/$B$12</f>
        <v/>
      </c>
      <c r="E66" s="155" t="n"/>
      <c r="F66" s="156" t="n"/>
    </row>
    <row r="67" ht="15" customHeight="1" s="121">
      <c r="A67" s="148" t="n">
        <v>56</v>
      </c>
      <c r="B67" s="149">
        <f>ROUND($B$6*(1+$B$7)^(A67-1),0)</f>
        <v/>
      </c>
      <c r="C67" s="149">
        <f>C66+B66</f>
        <v/>
      </c>
      <c r="D67" s="150">
        <f>B67/$B$12</f>
        <v/>
      </c>
      <c r="E67" s="151" t="n"/>
    </row>
    <row r="68" ht="15" customHeight="1" s="121">
      <c r="A68" s="148" t="n">
        <v>57</v>
      </c>
      <c r="B68" s="149">
        <f>ROUND($B$6*(1+$B$7)^(A68-1),0)</f>
        <v/>
      </c>
      <c r="C68" s="149">
        <f>C67+B67</f>
        <v/>
      </c>
      <c r="D68" s="150">
        <f>B68/$B$12</f>
        <v/>
      </c>
      <c r="E68" s="151" t="n"/>
    </row>
    <row r="69" ht="15" customHeight="1" s="121">
      <c r="A69" s="148" t="n">
        <v>58</v>
      </c>
      <c r="B69" s="149">
        <f>ROUND($B$6*(1+$B$7)^(A69-1),0)</f>
        <v/>
      </c>
      <c r="C69" s="149">
        <f>C68+B68</f>
        <v/>
      </c>
      <c r="D69" s="150">
        <f>B69/$B$12</f>
        <v/>
      </c>
      <c r="E69" s="151" t="n"/>
    </row>
    <row r="70" ht="15" customHeight="1" s="121">
      <c r="A70" s="148" t="n">
        <v>59</v>
      </c>
      <c r="B70" s="149">
        <f>ROUND($B$6*(1+$B$7)^(A70-1),0)</f>
        <v/>
      </c>
      <c r="C70" s="149">
        <f>C69+B69</f>
        <v/>
      </c>
      <c r="D70" s="150">
        <f>B70/$B$12</f>
        <v/>
      </c>
      <c r="E70" s="151" t="n"/>
    </row>
    <row r="71" ht="15" customHeight="1" s="121">
      <c r="A71" s="152" t="n">
        <v>60</v>
      </c>
      <c r="B71" s="157" t="inlineStr">
        <is>
          <t>—</t>
        </is>
      </c>
      <c r="C71" s="153">
        <f>C70+B70</f>
        <v/>
      </c>
      <c r="D71" s="157" t="inlineStr">
        <is>
          <t>—</t>
        </is>
      </c>
      <c r="E71" s="155" t="inlineStr">
        <is>
          <t>Level cap — final cosmetic unlock</t>
        </is>
      </c>
      <c r="F71" s="156" t="n"/>
    </row>
    <row r="73" ht="21.75" customHeight="1" s="121">
      <c r="A73" s="129" t="inlineStr">
        <is>
          <t>SUMMARY</t>
        </is>
      </c>
    </row>
    <row r="74" ht="15" customHeight="1" s="121">
      <c r="A74" s="145" t="inlineStr">
        <is>
          <t>Total XP to reach level cap</t>
        </is>
      </c>
      <c r="C74" s="149">
        <f>SUM(B12:B71)</f>
        <v/>
      </c>
    </row>
  </sheetData>
  <mergeCells count="6">
    <mergeCell ref="A73:F73"/>
    <mergeCell ref="A2:F2"/>
    <mergeCell ref="A10:F10"/>
    <mergeCell ref="A1:F1"/>
    <mergeCell ref="A4:F4"/>
    <mergeCell ref="A74:B7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L50"/>
  <sheetViews>
    <sheetView showFormulas="0" showGridLines="0" showRowColHeaders="1" showZeros="1" rightToLeft="0" tabSelected="0" showOutlineSymbols="1" defaultGridColor="1"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20" min="1" max="1"/>
    <col width="12" customWidth="1" style="120" min="2" max="2"/>
    <col width="14" customWidth="1" style="120" min="3" max="11"/>
    <col width="36" customWidth="1" style="120" min="12" max="12"/>
  </cols>
  <sheetData>
    <row r="1" ht="19.5" customHeight="1" s="121">
      <c r="A1" s="122" t="inlineStr">
        <is>
          <t>DROP RATES</t>
        </is>
      </c>
    </row>
    <row r="2" ht="15" customHeight="1" s="121">
      <c r="A2" s="123" t="inlineStr">
        <is>
          <t>Per-kill drop probabilities and expected per-floor yields. Drives the Currencies tab in batch 2.</t>
        </is>
      </c>
    </row>
    <row r="4" ht="21.75" customHeight="1" s="121">
      <c r="A4" s="129" t="inlineStr">
        <is>
          <t>GLOBAL DROP PROBABILITIES (per kill, from Assumptions)</t>
        </is>
      </c>
    </row>
    <row r="5" ht="26.25" customHeight="1" s="121">
      <c r="A5" s="128" t="inlineStr">
        <is>
          <t>Tier</t>
        </is>
      </c>
      <c r="B5" s="128" t="inlineStr">
        <is>
          <t>Drop</t>
        </is>
      </c>
      <c r="C5" s="128" t="inlineStr">
        <is>
          <t>Probability</t>
        </is>
      </c>
      <c r="K5" s="158" t="inlineStr">
        <is>
          <t>LOCAL DRIVERS</t>
        </is>
      </c>
    </row>
    <row r="6" ht="26.25" customHeight="1" s="121">
      <c r="A6" s="159" t="inlineStr">
        <is>
          <t>Common</t>
        </is>
      </c>
      <c r="B6" s="160" t="inlineStr">
        <is>
          <t>VEIN</t>
        </is>
      </c>
      <c r="C6" s="161">
        <f>Assumptions!$C$34</f>
        <v/>
      </c>
      <c r="K6" s="162" t="inlineStr">
        <is>
          <t>commons_per_floor</t>
        </is>
      </c>
      <c r="L6" s="146">
        <f>Assumptions!$C$51</f>
        <v/>
      </c>
    </row>
    <row r="7" ht="26.25" customHeight="1" s="121">
      <c r="A7" s="159" t="inlineStr">
        <is>
          <t>Common</t>
        </is>
      </c>
      <c r="B7" s="160" t="inlineStr">
        <is>
          <t>SIG</t>
        </is>
      </c>
      <c r="C7" s="147">
        <f>Assumptions!$C$35</f>
        <v/>
      </c>
      <c r="K7" s="162" t="inlineStr">
        <is>
          <t>elites_per_floor</t>
        </is>
      </c>
      <c r="L7" s="163">
        <f>Assumptions!$C$52</f>
        <v/>
      </c>
    </row>
    <row r="8" ht="26.25" customHeight="1" s="121">
      <c r="A8" s="159" t="inlineStr">
        <is>
          <t>Common</t>
        </is>
      </c>
      <c r="B8" s="160" t="inlineStr">
        <is>
          <t>Mod</t>
        </is>
      </c>
      <c r="C8" s="147">
        <f>Assumptions!$C$36</f>
        <v/>
      </c>
      <c r="K8" s="162" t="inlineStr">
        <is>
          <t>boss_every_n_floors</t>
        </is>
      </c>
      <c r="L8" s="146">
        <f>Assumptions!$C$53</f>
        <v/>
      </c>
    </row>
    <row r="9" ht="15" customHeight="1" s="121">
      <c r="A9" s="159" t="inlineStr">
        <is>
          <t>Elite</t>
        </is>
      </c>
      <c r="B9" s="160" t="inlineStr">
        <is>
          <t>SIG</t>
        </is>
      </c>
      <c r="C9" s="147">
        <f>Assumptions!$C$37</f>
        <v/>
      </c>
      <c r="K9" s="162" t="inlineStr">
        <is>
          <t>floors_per_zone</t>
        </is>
      </c>
      <c r="L9" s="146">
        <f>Assumptions!$C$9</f>
        <v/>
      </c>
    </row>
    <row r="10" ht="15" customHeight="1" s="121">
      <c r="A10" s="159" t="inlineStr">
        <is>
          <t>Elite</t>
        </is>
      </c>
      <c r="B10" s="160" t="inlineStr">
        <is>
          <t>Mod</t>
        </is>
      </c>
      <c r="C10" s="147">
        <f>Assumptions!$C$38</f>
        <v/>
      </c>
    </row>
    <row r="11" ht="15" customHeight="1" s="121">
      <c r="A11" s="159" t="inlineStr">
        <is>
          <t>Elite</t>
        </is>
      </c>
      <c r="B11" s="160" t="inlineStr">
        <is>
          <t>Rare core</t>
        </is>
      </c>
      <c r="C11" s="147">
        <f>Assumptions!$C$39</f>
        <v/>
      </c>
    </row>
    <row r="12" ht="27.75" customHeight="1" s="121">
      <c r="A12" s="159" t="inlineStr">
        <is>
          <t>Boss</t>
        </is>
      </c>
      <c r="B12" s="160" t="inlineStr">
        <is>
          <t>SIG (guaranteed)</t>
        </is>
      </c>
      <c r="C12" s="161">
        <f>Assumptions!$C$40</f>
        <v/>
      </c>
    </row>
    <row r="13" ht="15" customHeight="1" s="121">
      <c r="A13" s="159" t="inlineStr">
        <is>
          <t>Boss</t>
        </is>
      </c>
      <c r="B13" s="160" t="inlineStr">
        <is>
          <t>Rare core</t>
        </is>
      </c>
      <c r="C13" s="147">
        <f>Assumptions!$C$41</f>
        <v/>
      </c>
    </row>
    <row r="14" ht="15" customHeight="1" s="121">
      <c r="A14" s="159" t="inlineStr">
        <is>
          <t>Boss</t>
        </is>
      </c>
      <c r="B14" s="160" t="inlineStr">
        <is>
          <t>Epic core</t>
        </is>
      </c>
      <c r="C14" s="147">
        <f>Assumptions!$C$42</f>
        <v/>
      </c>
    </row>
    <row r="17" ht="21.75" customHeight="1" s="121">
      <c r="A17" s="129" t="inlineStr">
        <is>
          <t>EXPECTED PER-FLOOR YIELD (E[drops] = kills × probability)</t>
        </is>
      </c>
    </row>
    <row r="18" ht="27.75" customHeight="1" s="121">
      <c r="A18" s="128" t="inlineStr">
        <is>
          <t>Floor</t>
        </is>
      </c>
      <c r="B18" s="128" t="inlineStr">
        <is>
          <t>Zone</t>
        </is>
      </c>
      <c r="C18" s="128" t="inlineStr">
        <is>
          <t>Commons</t>
        </is>
      </c>
      <c r="D18" s="128" t="inlineStr">
        <is>
          <t>Elites</t>
        </is>
      </c>
      <c r="E18" s="128" t="inlineStr">
        <is>
          <t>E[VEIN drops]</t>
        </is>
      </c>
      <c r="F18" s="128" t="inlineStr">
        <is>
          <t>E[SIG drops]</t>
        </is>
      </c>
      <c r="G18" s="128" t="inlineStr">
        <is>
          <t>E[Mod drops]</t>
        </is>
      </c>
      <c r="H18" s="128" t="inlineStr">
        <is>
          <t>E[Rare cores]</t>
        </is>
      </c>
      <c r="I18" s="128" t="inlineStr">
        <is>
          <t>E[Epic cores]</t>
        </is>
      </c>
      <c r="J18" s="128" t="inlineStr">
        <is>
          <t>Is boss floor?</t>
        </is>
      </c>
      <c r="K18" s="128" t="n"/>
      <c r="L18" s="128" t="inlineStr">
        <is>
          <t>Notes</t>
        </is>
      </c>
    </row>
    <row r="19" ht="15" customHeight="1" s="121">
      <c r="A19" s="148" t="n">
        <v>1</v>
      </c>
      <c r="B19" s="149">
        <f>CEILING(A19/$L$9,1)</f>
        <v/>
      </c>
      <c r="C19" s="164">
        <f>IF(MOD(A19,$L$8)=0,$L$6*0.5,$L$6)</f>
        <v/>
      </c>
      <c r="D19" s="164">
        <f>IF(MOD(A19,$L$8)=0,0,$L$7)</f>
        <v/>
      </c>
      <c r="E19" s="164">
        <f>C19*$C$6+D19+IF(MOD(A19,$L$8)=0,1,0)</f>
        <v/>
      </c>
      <c r="F19" s="164">
        <f>C19*$C$7+D19*$C$9+IF(MOD(A19,$L$8)=0,1,0)*$C$12</f>
        <v/>
      </c>
      <c r="G19" s="150">
        <f>C19*$C$8+D19*$C$10</f>
        <v/>
      </c>
      <c r="H19" s="150">
        <f>D19*$C$11+IF(MOD(A19,$L$8)=0,1,0)*$C$13</f>
        <v/>
      </c>
      <c r="I19" s="150">
        <f>IF(MOD(A19,$L$8)=0,1,0)*$C$14</f>
        <v/>
      </c>
      <c r="J19" s="165">
        <f>IF(MOD(A19,$L$8)=0,"Yes","")</f>
        <v/>
      </c>
      <c r="L19" s="151" t="inlineStr">
        <is>
          <t>Tutorial floor — drops still apply for balance-data parity.</t>
        </is>
      </c>
    </row>
    <row r="20" ht="15" customHeight="1" s="121">
      <c r="A20" s="152" t="n">
        <v>2</v>
      </c>
      <c r="B20" s="153">
        <f>CEILING(A20/$L$9,1)</f>
        <v/>
      </c>
      <c r="C20" s="166">
        <f>IF(MOD(A20,$L$8)=0,$L$6*0.5,$L$6)</f>
        <v/>
      </c>
      <c r="D20" s="166">
        <f>IF(MOD(A20,$L$8)=0,0,$L$7)</f>
        <v/>
      </c>
      <c r="E20" s="166">
        <f>C20*$C$6+D20+IF(MOD(A20,$L$8)=0,1,0)</f>
        <v/>
      </c>
      <c r="F20" s="166">
        <f>C20*$C$7+D20*$C$9+IF(MOD(A20,$L$8)=0,1,0)*$C$12</f>
        <v/>
      </c>
      <c r="G20" s="154">
        <f>C20*$C$8+D20*$C$10</f>
        <v/>
      </c>
      <c r="H20" s="154">
        <f>D20*$C$11+IF(MOD(A20,$L$8)=0,1,0)*$C$13</f>
        <v/>
      </c>
      <c r="I20" s="154">
        <f>IF(MOD(A20,$L$8)=0,1,0)*$C$14</f>
        <v/>
      </c>
      <c r="J20" s="167">
        <f>IF(MOD(A20,$L$8)=0,"Yes","")</f>
        <v/>
      </c>
      <c r="K20" s="156" t="n"/>
      <c r="L20" s="155" t="n"/>
    </row>
    <row r="21" ht="15" customHeight="1" s="121">
      <c r="A21" s="148" t="n">
        <v>3</v>
      </c>
      <c r="B21" s="149">
        <f>CEILING(A21/$L$9,1)</f>
        <v/>
      </c>
      <c r="C21" s="164">
        <f>IF(MOD(A21,$L$8)=0,$L$6*0.5,$L$6)</f>
        <v/>
      </c>
      <c r="D21" s="164">
        <f>IF(MOD(A21,$L$8)=0,0,$L$7)</f>
        <v/>
      </c>
      <c r="E21" s="164">
        <f>C21*$C$6+D21+IF(MOD(A21,$L$8)=0,1,0)</f>
        <v/>
      </c>
      <c r="F21" s="164">
        <f>C21*$C$7+D21*$C$9+IF(MOD(A21,$L$8)=0,1,0)*$C$12</f>
        <v/>
      </c>
      <c r="G21" s="150">
        <f>C21*$C$8+D21*$C$10</f>
        <v/>
      </c>
      <c r="H21" s="150">
        <f>D21*$C$11+IF(MOD(A21,$L$8)=0,1,0)*$C$13</f>
        <v/>
      </c>
      <c r="I21" s="150">
        <f>IF(MOD(A21,$L$8)=0,1,0)*$C$14</f>
        <v/>
      </c>
      <c r="J21" s="165">
        <f>IF(MOD(A21,$L$8)=0,"Yes","")</f>
        <v/>
      </c>
      <c r="L21" s="151" t="n"/>
    </row>
    <row r="22" ht="15" customHeight="1" s="121">
      <c r="A22" s="152" t="n">
        <v>4</v>
      </c>
      <c r="B22" s="153">
        <f>CEILING(A22/$L$9,1)</f>
        <v/>
      </c>
      <c r="C22" s="166">
        <f>IF(MOD(A22,$L$8)=0,$L$6*0.5,$L$6)</f>
        <v/>
      </c>
      <c r="D22" s="166">
        <f>IF(MOD(A22,$L$8)=0,0,$L$7)</f>
        <v/>
      </c>
      <c r="E22" s="166">
        <f>C22*$C$6+D22+IF(MOD(A22,$L$8)=0,1,0)</f>
        <v/>
      </c>
      <c r="F22" s="166">
        <f>C22*$C$7+D22*$C$9+IF(MOD(A22,$L$8)=0,1,0)*$C$12</f>
        <v/>
      </c>
      <c r="G22" s="154">
        <f>C22*$C$8+D22*$C$10</f>
        <v/>
      </c>
      <c r="H22" s="154">
        <f>D22*$C$11+IF(MOD(A22,$L$8)=0,1,0)*$C$13</f>
        <v/>
      </c>
      <c r="I22" s="154">
        <f>IF(MOD(A22,$L$8)=0,1,0)*$C$14</f>
        <v/>
      </c>
      <c r="J22" s="167">
        <f>IF(MOD(A22,$L$8)=0,"Yes","")</f>
        <v/>
      </c>
      <c r="K22" s="156" t="n"/>
      <c r="L22" s="155" t="n"/>
    </row>
    <row r="23" ht="15" customHeight="1" s="121">
      <c r="A23" s="148" t="n">
        <v>5</v>
      </c>
      <c r="B23" s="149">
        <f>CEILING(A23/$L$9,1)</f>
        <v/>
      </c>
      <c r="C23" s="164">
        <f>IF(MOD(A23,$L$8)=0,$L$6*0.5,$L$6)</f>
        <v/>
      </c>
      <c r="D23" s="164">
        <f>IF(MOD(A23,$L$8)=0,0,$L$7)</f>
        <v/>
      </c>
      <c r="E23" s="164">
        <f>C23*$C$6+D23+IF(MOD(A23,$L$8)=0,1,0)</f>
        <v/>
      </c>
      <c r="F23" s="164">
        <f>C23*$C$7+D23*$C$9+IF(MOD(A23,$L$8)=0,1,0)*$C$12</f>
        <v/>
      </c>
      <c r="G23" s="150">
        <f>C23*$C$8+D23*$C$10</f>
        <v/>
      </c>
      <c r="H23" s="150">
        <f>D23*$C$11+IF(MOD(A23,$L$8)=0,1,0)*$C$13</f>
        <v/>
      </c>
      <c r="I23" s="150">
        <f>IF(MOD(A23,$L$8)=0,1,0)*$C$14</f>
        <v/>
      </c>
      <c r="J23" s="165">
        <f>IF(MOD(A23,$L$8)=0,"Yes","")</f>
        <v/>
      </c>
      <c r="L23" s="151" t="inlineStr">
        <is>
          <t>Zone 1 boss</t>
        </is>
      </c>
    </row>
    <row r="24" ht="15" customHeight="1" s="121">
      <c r="A24" s="152" t="n">
        <v>6</v>
      </c>
      <c r="B24" s="153">
        <f>CEILING(A24/$L$9,1)</f>
        <v/>
      </c>
      <c r="C24" s="166">
        <f>IF(MOD(A24,$L$8)=0,$L$6*0.5,$L$6)</f>
        <v/>
      </c>
      <c r="D24" s="166">
        <f>IF(MOD(A24,$L$8)=0,0,$L$7)</f>
        <v/>
      </c>
      <c r="E24" s="166">
        <f>C24*$C$6+D24+IF(MOD(A24,$L$8)=0,1,0)</f>
        <v/>
      </c>
      <c r="F24" s="166">
        <f>C24*$C$7+D24*$C$9+IF(MOD(A24,$L$8)=0,1,0)*$C$12</f>
        <v/>
      </c>
      <c r="G24" s="154">
        <f>C24*$C$8+D24*$C$10</f>
        <v/>
      </c>
      <c r="H24" s="154">
        <f>D24*$C$11+IF(MOD(A24,$L$8)=0,1,0)*$C$13</f>
        <v/>
      </c>
      <c r="I24" s="154">
        <f>IF(MOD(A24,$L$8)=0,1,0)*$C$14</f>
        <v/>
      </c>
      <c r="J24" s="167">
        <f>IF(MOD(A24,$L$8)=0,"Yes","")</f>
        <v/>
      </c>
      <c r="K24" s="156" t="n"/>
      <c r="L24" s="155" t="n"/>
    </row>
    <row r="25" ht="15" customHeight="1" s="121">
      <c r="A25" s="148" t="n">
        <v>7</v>
      </c>
      <c r="B25" s="149">
        <f>CEILING(A25/$L$9,1)</f>
        <v/>
      </c>
      <c r="C25" s="164">
        <f>IF(MOD(A25,$L$8)=0,$L$6*0.5,$L$6)</f>
        <v/>
      </c>
      <c r="D25" s="164">
        <f>IF(MOD(A25,$L$8)=0,0,$L$7)</f>
        <v/>
      </c>
      <c r="E25" s="164">
        <f>C25*$C$6+D25+IF(MOD(A25,$L$8)=0,1,0)</f>
        <v/>
      </c>
      <c r="F25" s="164">
        <f>C25*$C$7+D25*$C$9+IF(MOD(A25,$L$8)=0,1,0)*$C$12</f>
        <v/>
      </c>
      <c r="G25" s="150">
        <f>C25*$C$8+D25*$C$10</f>
        <v/>
      </c>
      <c r="H25" s="150">
        <f>D25*$C$11+IF(MOD(A25,$L$8)=0,1,0)*$C$13</f>
        <v/>
      </c>
      <c r="I25" s="150">
        <f>IF(MOD(A25,$L$8)=0,1,0)*$C$14</f>
        <v/>
      </c>
      <c r="J25" s="165">
        <f>IF(MOD(A25,$L$8)=0,"Yes","")</f>
        <v/>
      </c>
      <c r="L25" s="151" t="n"/>
    </row>
    <row r="26" ht="15" customHeight="1" s="121">
      <c r="A26" s="152" t="n">
        <v>8</v>
      </c>
      <c r="B26" s="153">
        <f>CEILING(A26/$L$9,1)</f>
        <v/>
      </c>
      <c r="C26" s="166">
        <f>IF(MOD(A26,$L$8)=0,$L$6*0.5,$L$6)</f>
        <v/>
      </c>
      <c r="D26" s="166">
        <f>IF(MOD(A26,$L$8)=0,0,$L$7)</f>
        <v/>
      </c>
      <c r="E26" s="166">
        <f>C26*$C$6+D26+IF(MOD(A26,$L$8)=0,1,0)</f>
        <v/>
      </c>
      <c r="F26" s="166">
        <f>C26*$C$7+D26*$C$9+IF(MOD(A26,$L$8)=0,1,0)*$C$12</f>
        <v/>
      </c>
      <c r="G26" s="154">
        <f>C26*$C$8+D26*$C$10</f>
        <v/>
      </c>
      <c r="H26" s="154">
        <f>D26*$C$11+IF(MOD(A26,$L$8)=0,1,0)*$C$13</f>
        <v/>
      </c>
      <c r="I26" s="154">
        <f>IF(MOD(A26,$L$8)=0,1,0)*$C$14</f>
        <v/>
      </c>
      <c r="J26" s="167">
        <f>IF(MOD(A26,$L$8)=0,"Yes","")</f>
        <v/>
      </c>
      <c r="K26" s="156" t="n"/>
      <c r="L26" s="155" t="n"/>
    </row>
    <row r="27" ht="15" customHeight="1" s="121">
      <c r="A27" s="148" t="n">
        <v>9</v>
      </c>
      <c r="B27" s="149">
        <f>CEILING(A27/$L$9,1)</f>
        <v/>
      </c>
      <c r="C27" s="164">
        <f>IF(MOD(A27,$L$8)=0,$L$6*0.5,$L$6)</f>
        <v/>
      </c>
      <c r="D27" s="164">
        <f>IF(MOD(A27,$L$8)=0,0,$L$7)</f>
        <v/>
      </c>
      <c r="E27" s="164">
        <f>C27*$C$6+D27+IF(MOD(A27,$L$8)=0,1,0)</f>
        <v/>
      </c>
      <c r="F27" s="164">
        <f>C27*$C$7+D27*$C$9+IF(MOD(A27,$L$8)=0,1,0)*$C$12</f>
        <v/>
      </c>
      <c r="G27" s="150">
        <f>C27*$C$8+D27*$C$10</f>
        <v/>
      </c>
      <c r="H27" s="150">
        <f>D27*$C$11+IF(MOD(A27,$L$8)=0,1,0)*$C$13</f>
        <v/>
      </c>
      <c r="I27" s="150">
        <f>IF(MOD(A27,$L$8)=0,1,0)*$C$14</f>
        <v/>
      </c>
      <c r="J27" s="165">
        <f>IF(MOD(A27,$L$8)=0,"Yes","")</f>
        <v/>
      </c>
      <c r="L27" s="151" t="n"/>
    </row>
    <row r="28" ht="15" customHeight="1" s="121">
      <c r="A28" s="152" t="n">
        <v>10</v>
      </c>
      <c r="B28" s="153">
        <f>CEILING(A28/$L$9,1)</f>
        <v/>
      </c>
      <c r="C28" s="166">
        <f>IF(MOD(A28,$L$8)=0,$L$6*0.5,$L$6)</f>
        <v/>
      </c>
      <c r="D28" s="166">
        <f>IF(MOD(A28,$L$8)=0,0,$L$7)</f>
        <v/>
      </c>
      <c r="E28" s="166">
        <f>C28*$C$6+D28+IF(MOD(A28,$L$8)=0,1,0)</f>
        <v/>
      </c>
      <c r="F28" s="166">
        <f>C28*$C$7+D28*$C$9+IF(MOD(A28,$L$8)=0,1,0)*$C$12</f>
        <v/>
      </c>
      <c r="G28" s="154">
        <f>C28*$C$8+D28*$C$10</f>
        <v/>
      </c>
      <c r="H28" s="154">
        <f>D28*$C$11+IF(MOD(A28,$L$8)=0,1,0)*$C$13</f>
        <v/>
      </c>
      <c r="I28" s="154">
        <f>IF(MOD(A28,$L$8)=0,1,0)*$C$14</f>
        <v/>
      </c>
      <c r="J28" s="167">
        <f>IF(MOD(A28,$L$8)=0,"Yes","")</f>
        <v/>
      </c>
      <c r="K28" s="156" t="n"/>
      <c r="L28" s="155" t="inlineStr">
        <is>
          <t>Zone 2 boss</t>
        </is>
      </c>
    </row>
    <row r="29" ht="15" customHeight="1" s="121">
      <c r="A29" s="148" t="n">
        <v>11</v>
      </c>
      <c r="B29" s="149">
        <f>CEILING(A29/$L$9,1)</f>
        <v/>
      </c>
      <c r="C29" s="164">
        <f>IF(MOD(A29,$L$8)=0,$L$6*0.5,$L$6)</f>
        <v/>
      </c>
      <c r="D29" s="164">
        <f>IF(MOD(A29,$L$8)=0,0,$L$7)</f>
        <v/>
      </c>
      <c r="E29" s="164">
        <f>C29*$C$6+D29+IF(MOD(A29,$L$8)=0,1,0)</f>
        <v/>
      </c>
      <c r="F29" s="164">
        <f>C29*$C$7+D29*$C$9+IF(MOD(A29,$L$8)=0,1,0)*$C$12</f>
        <v/>
      </c>
      <c r="G29" s="150">
        <f>C29*$C$8+D29*$C$10</f>
        <v/>
      </c>
      <c r="H29" s="150">
        <f>D29*$C$11+IF(MOD(A29,$L$8)=0,1,0)*$C$13</f>
        <v/>
      </c>
      <c r="I29" s="150">
        <f>IF(MOD(A29,$L$8)=0,1,0)*$C$14</f>
        <v/>
      </c>
      <c r="J29" s="165">
        <f>IF(MOD(A29,$L$8)=0,"Yes","")</f>
        <v/>
      </c>
      <c r="L29" s="151" t="n"/>
    </row>
    <row r="30" ht="15" customHeight="1" s="121">
      <c r="A30" s="152" t="n">
        <v>12</v>
      </c>
      <c r="B30" s="153">
        <f>CEILING(A30/$L$9,1)</f>
        <v/>
      </c>
      <c r="C30" s="166">
        <f>IF(MOD(A30,$L$8)=0,$L$6*0.5,$L$6)</f>
        <v/>
      </c>
      <c r="D30" s="166">
        <f>IF(MOD(A30,$L$8)=0,0,$L$7)</f>
        <v/>
      </c>
      <c r="E30" s="166">
        <f>C30*$C$6+D30+IF(MOD(A30,$L$8)=0,1,0)</f>
        <v/>
      </c>
      <c r="F30" s="166">
        <f>C30*$C$7+D30*$C$9+IF(MOD(A30,$L$8)=0,1,0)*$C$12</f>
        <v/>
      </c>
      <c r="G30" s="154">
        <f>C30*$C$8+D30*$C$10</f>
        <v/>
      </c>
      <c r="H30" s="154">
        <f>D30*$C$11+IF(MOD(A30,$L$8)=0,1,0)*$C$13</f>
        <v/>
      </c>
      <c r="I30" s="154">
        <f>IF(MOD(A30,$L$8)=0,1,0)*$C$14</f>
        <v/>
      </c>
      <c r="J30" s="167">
        <f>IF(MOD(A30,$L$8)=0,"Yes","")</f>
        <v/>
      </c>
      <c r="K30" s="156" t="n"/>
      <c r="L30" s="155" t="n"/>
    </row>
    <row r="31" ht="15" customHeight="1" s="121">
      <c r="A31" s="148" t="n">
        <v>13</v>
      </c>
      <c r="B31" s="149">
        <f>CEILING(A31/$L$9,1)</f>
        <v/>
      </c>
      <c r="C31" s="164">
        <f>IF(MOD(A31,$L$8)=0,$L$6*0.5,$L$6)</f>
        <v/>
      </c>
      <c r="D31" s="164">
        <f>IF(MOD(A31,$L$8)=0,0,$L$7)</f>
        <v/>
      </c>
      <c r="E31" s="164">
        <f>C31*$C$6+D31+IF(MOD(A31,$L$8)=0,1,0)</f>
        <v/>
      </c>
      <c r="F31" s="164">
        <f>C31*$C$7+D31*$C$9+IF(MOD(A31,$L$8)=0,1,0)*$C$12</f>
        <v/>
      </c>
      <c r="G31" s="150">
        <f>C31*$C$8+D31*$C$10</f>
        <v/>
      </c>
      <c r="H31" s="150">
        <f>D31*$C$11+IF(MOD(A31,$L$8)=0,1,0)*$C$13</f>
        <v/>
      </c>
      <c r="I31" s="150">
        <f>IF(MOD(A31,$L$8)=0,1,0)*$C$14</f>
        <v/>
      </c>
      <c r="J31" s="165">
        <f>IF(MOD(A31,$L$8)=0,"Yes","")</f>
        <v/>
      </c>
      <c r="L31" s="151" t="n"/>
    </row>
    <row r="32" ht="15" customHeight="1" s="121">
      <c r="A32" s="152" t="n">
        <v>14</v>
      </c>
      <c r="B32" s="153">
        <f>CEILING(A32/$L$9,1)</f>
        <v/>
      </c>
      <c r="C32" s="166">
        <f>IF(MOD(A32,$L$8)=0,$L$6*0.5,$L$6)</f>
        <v/>
      </c>
      <c r="D32" s="166">
        <f>IF(MOD(A32,$L$8)=0,0,$L$7)</f>
        <v/>
      </c>
      <c r="E32" s="166">
        <f>C32*$C$6+D32+IF(MOD(A32,$L$8)=0,1,0)</f>
        <v/>
      </c>
      <c r="F32" s="166">
        <f>C32*$C$7+D32*$C$9+IF(MOD(A32,$L$8)=0,1,0)*$C$12</f>
        <v/>
      </c>
      <c r="G32" s="154">
        <f>C32*$C$8+D32*$C$10</f>
        <v/>
      </c>
      <c r="H32" s="154">
        <f>D32*$C$11+IF(MOD(A32,$L$8)=0,1,0)*$C$13</f>
        <v/>
      </c>
      <c r="I32" s="154">
        <f>IF(MOD(A32,$L$8)=0,1,0)*$C$14</f>
        <v/>
      </c>
      <c r="J32" s="167">
        <f>IF(MOD(A32,$L$8)=0,"Yes","")</f>
        <v/>
      </c>
      <c r="K32" s="156" t="n"/>
      <c r="L32" s="155" t="n"/>
    </row>
    <row r="33" ht="15" customHeight="1" s="121">
      <c r="A33" s="148" t="n">
        <v>15</v>
      </c>
      <c r="B33" s="149">
        <f>CEILING(A33/$L$9,1)</f>
        <v/>
      </c>
      <c r="C33" s="164">
        <f>IF(MOD(A33,$L$8)=0,$L$6*0.5,$L$6)</f>
        <v/>
      </c>
      <c r="D33" s="164">
        <f>IF(MOD(A33,$L$8)=0,0,$L$7)</f>
        <v/>
      </c>
      <c r="E33" s="164">
        <f>C33*$C$6+D33+IF(MOD(A33,$L$8)=0,1,0)</f>
        <v/>
      </c>
      <c r="F33" s="164">
        <f>C33*$C$7+D33*$C$9+IF(MOD(A33,$L$8)=0,1,0)*$C$12</f>
        <v/>
      </c>
      <c r="G33" s="150">
        <f>C33*$C$8+D33*$C$10</f>
        <v/>
      </c>
      <c r="H33" s="150">
        <f>D33*$C$11+IF(MOD(A33,$L$8)=0,1,0)*$C$13</f>
        <v/>
      </c>
      <c r="I33" s="150">
        <f>IF(MOD(A33,$L$8)=0,1,0)*$C$14</f>
        <v/>
      </c>
      <c r="J33" s="165">
        <f>IF(MOD(A33,$L$8)=0,"Yes","")</f>
        <v/>
      </c>
      <c r="L33" s="151" t="inlineStr">
        <is>
          <t>Zone 3 boss</t>
        </is>
      </c>
    </row>
    <row r="34" ht="15" customHeight="1" s="121">
      <c r="A34" s="152" t="n">
        <v>16</v>
      </c>
      <c r="B34" s="153">
        <f>CEILING(A34/$L$9,1)</f>
        <v/>
      </c>
      <c r="C34" s="166">
        <f>IF(MOD(A34,$L$8)=0,$L$6*0.5,$L$6)</f>
        <v/>
      </c>
      <c r="D34" s="166">
        <f>IF(MOD(A34,$L$8)=0,0,$L$7)</f>
        <v/>
      </c>
      <c r="E34" s="166">
        <f>C34*$C$6+D34+IF(MOD(A34,$L$8)=0,1,0)</f>
        <v/>
      </c>
      <c r="F34" s="166">
        <f>C34*$C$7+D34*$C$9+IF(MOD(A34,$L$8)=0,1,0)*$C$12</f>
        <v/>
      </c>
      <c r="G34" s="154">
        <f>C34*$C$8+D34*$C$10</f>
        <v/>
      </c>
      <c r="H34" s="154">
        <f>D34*$C$11+IF(MOD(A34,$L$8)=0,1,0)*$C$13</f>
        <v/>
      </c>
      <c r="I34" s="154">
        <f>IF(MOD(A34,$L$8)=0,1,0)*$C$14</f>
        <v/>
      </c>
      <c r="J34" s="167">
        <f>IF(MOD(A34,$L$8)=0,"Yes","")</f>
        <v/>
      </c>
      <c r="K34" s="156" t="n"/>
      <c r="L34" s="155" t="n"/>
    </row>
    <row r="35" ht="15" customHeight="1" s="121">
      <c r="A35" s="148" t="n">
        <v>17</v>
      </c>
      <c r="B35" s="149">
        <f>CEILING(A35/$L$9,1)</f>
        <v/>
      </c>
      <c r="C35" s="164">
        <f>IF(MOD(A35,$L$8)=0,$L$6*0.5,$L$6)</f>
        <v/>
      </c>
      <c r="D35" s="164">
        <f>IF(MOD(A35,$L$8)=0,0,$L$7)</f>
        <v/>
      </c>
      <c r="E35" s="164">
        <f>C35*$C$6+D35+IF(MOD(A35,$L$8)=0,1,0)</f>
        <v/>
      </c>
      <c r="F35" s="164">
        <f>C35*$C$7+D35*$C$9+IF(MOD(A35,$L$8)=0,1,0)*$C$12</f>
        <v/>
      </c>
      <c r="G35" s="150">
        <f>C35*$C$8+D35*$C$10</f>
        <v/>
      </c>
      <c r="H35" s="150">
        <f>D35*$C$11+IF(MOD(A35,$L$8)=0,1,0)*$C$13</f>
        <v/>
      </c>
      <c r="I35" s="150">
        <f>IF(MOD(A35,$L$8)=0,1,0)*$C$14</f>
        <v/>
      </c>
      <c r="J35" s="165">
        <f>IF(MOD(A35,$L$8)=0,"Yes","")</f>
        <v/>
      </c>
      <c r="L35" s="151" t="n"/>
    </row>
    <row r="36" ht="15" customHeight="1" s="121">
      <c r="A36" s="152" t="n">
        <v>18</v>
      </c>
      <c r="B36" s="153">
        <f>CEILING(A36/$L$9,1)</f>
        <v/>
      </c>
      <c r="C36" s="166">
        <f>IF(MOD(A36,$L$8)=0,$L$6*0.5,$L$6)</f>
        <v/>
      </c>
      <c r="D36" s="166">
        <f>IF(MOD(A36,$L$8)=0,0,$L$7)</f>
        <v/>
      </c>
      <c r="E36" s="166">
        <f>C36*$C$6+D36+IF(MOD(A36,$L$8)=0,1,0)</f>
        <v/>
      </c>
      <c r="F36" s="166">
        <f>C36*$C$7+D36*$C$9+IF(MOD(A36,$L$8)=0,1,0)*$C$12</f>
        <v/>
      </c>
      <c r="G36" s="154">
        <f>C36*$C$8+D36*$C$10</f>
        <v/>
      </c>
      <c r="H36" s="154">
        <f>D36*$C$11+IF(MOD(A36,$L$8)=0,1,0)*$C$13</f>
        <v/>
      </c>
      <c r="I36" s="154">
        <f>IF(MOD(A36,$L$8)=0,1,0)*$C$14</f>
        <v/>
      </c>
      <c r="J36" s="167">
        <f>IF(MOD(A36,$L$8)=0,"Yes","")</f>
        <v/>
      </c>
      <c r="K36" s="156" t="n"/>
      <c r="L36" s="155" t="n"/>
    </row>
    <row r="37" ht="15" customHeight="1" s="121">
      <c r="A37" s="148" t="n">
        <v>19</v>
      </c>
      <c r="B37" s="149">
        <f>CEILING(A37/$L$9,1)</f>
        <v/>
      </c>
      <c r="C37" s="164">
        <f>IF(MOD(A37,$L$8)=0,$L$6*0.5,$L$6)</f>
        <v/>
      </c>
      <c r="D37" s="164">
        <f>IF(MOD(A37,$L$8)=0,0,$L$7)</f>
        <v/>
      </c>
      <c r="E37" s="164">
        <f>C37*$C$6+D37+IF(MOD(A37,$L$8)=0,1,0)</f>
        <v/>
      </c>
      <c r="F37" s="164">
        <f>C37*$C$7+D37*$C$9+IF(MOD(A37,$L$8)=0,1,0)*$C$12</f>
        <v/>
      </c>
      <c r="G37" s="150">
        <f>C37*$C$8+D37*$C$10</f>
        <v/>
      </c>
      <c r="H37" s="150">
        <f>D37*$C$11+IF(MOD(A37,$L$8)=0,1,0)*$C$13</f>
        <v/>
      </c>
      <c r="I37" s="150">
        <f>IF(MOD(A37,$L$8)=0,1,0)*$C$14</f>
        <v/>
      </c>
      <c r="J37" s="165">
        <f>IF(MOD(A37,$L$8)=0,"Yes","")</f>
        <v/>
      </c>
      <c r="L37" s="151" t="n"/>
    </row>
    <row r="38" ht="15" customHeight="1" s="121">
      <c r="A38" s="152" t="n">
        <v>20</v>
      </c>
      <c r="B38" s="153">
        <f>CEILING(A38/$L$9,1)</f>
        <v/>
      </c>
      <c r="C38" s="166">
        <f>IF(MOD(A38,$L$8)=0,$L$6*0.5,$L$6)</f>
        <v/>
      </c>
      <c r="D38" s="166">
        <f>IF(MOD(A38,$L$8)=0,0,$L$7)</f>
        <v/>
      </c>
      <c r="E38" s="166">
        <f>C38*$C$6+D38+IF(MOD(A38,$L$8)=0,1,0)</f>
        <v/>
      </c>
      <c r="F38" s="166">
        <f>C38*$C$7+D38*$C$9+IF(MOD(A38,$L$8)=0,1,0)*$C$12</f>
        <v/>
      </c>
      <c r="G38" s="154">
        <f>C38*$C$8+D38*$C$10</f>
        <v/>
      </c>
      <c r="H38" s="154">
        <f>D38*$C$11+IF(MOD(A38,$L$8)=0,1,0)*$C$13</f>
        <v/>
      </c>
      <c r="I38" s="154">
        <f>IF(MOD(A38,$L$8)=0,1,0)*$C$14</f>
        <v/>
      </c>
      <c r="J38" s="167">
        <f>IF(MOD(A38,$L$8)=0,"Yes","")</f>
        <v/>
      </c>
      <c r="K38" s="156" t="n"/>
      <c r="L38" s="155" t="inlineStr">
        <is>
          <t>Zone 4 boss</t>
        </is>
      </c>
    </row>
    <row r="39" ht="15" customHeight="1" s="121">
      <c r="A39" s="148" t="n"/>
      <c r="B39" s="149" t="n"/>
      <c r="C39" s="164" t="n"/>
      <c r="D39" s="164" t="n"/>
      <c r="E39" s="164" t="n"/>
      <c r="F39" s="164" t="n"/>
      <c r="G39" s="150" t="n"/>
      <c r="H39" s="150" t="n"/>
      <c r="I39" s="150" t="n"/>
      <c r="J39" s="165" t="n"/>
      <c r="L39" s="151" t="n"/>
    </row>
    <row r="40" ht="15" customHeight="1" s="121">
      <c r="A40" s="152" t="n"/>
      <c r="B40" s="153" t="n"/>
      <c r="C40" s="166" t="n"/>
      <c r="D40" s="166" t="n"/>
      <c r="E40" s="166" t="n"/>
      <c r="F40" s="166" t="n"/>
      <c r="G40" s="154" t="n"/>
      <c r="H40" s="154" t="n"/>
      <c r="I40" s="154" t="n"/>
      <c r="J40" s="167" t="n"/>
      <c r="K40" s="156" t="n"/>
      <c r="L40" s="155" t="n"/>
    </row>
    <row r="41" ht="15" customHeight="1" s="121">
      <c r="A41" s="148" t="n"/>
      <c r="B41" s="149" t="n"/>
      <c r="C41" s="164" t="n"/>
      <c r="D41" s="164" t="n"/>
      <c r="E41" s="164" t="n"/>
      <c r="F41" s="164" t="n"/>
      <c r="G41" s="150" t="n"/>
      <c r="H41" s="150" t="n"/>
      <c r="I41" s="150" t="n"/>
      <c r="J41" s="165" t="n"/>
      <c r="L41" s="151" t="n"/>
    </row>
    <row r="42" ht="15" customHeight="1" s="121">
      <c r="A42" s="152" t="n"/>
      <c r="B42" s="153" t="n"/>
      <c r="C42" s="166" t="n"/>
      <c r="D42" s="166" t="n"/>
      <c r="E42" s="166" t="n"/>
      <c r="F42" s="166" t="n"/>
      <c r="G42" s="154" t="n"/>
      <c r="H42" s="154" t="n"/>
      <c r="I42" s="154" t="n"/>
      <c r="J42" s="167" t="n"/>
      <c r="K42" s="156" t="n"/>
      <c r="L42" s="155" t="n"/>
    </row>
    <row r="43" ht="15" customHeight="1" s="121">
      <c r="A43" s="148" t="n"/>
      <c r="B43" s="149" t="n"/>
      <c r="C43" s="164" t="n"/>
      <c r="D43" s="164" t="n"/>
      <c r="E43" s="164" t="n"/>
      <c r="F43" s="164" t="n"/>
      <c r="G43" s="150" t="n"/>
      <c r="H43" s="150" t="n"/>
      <c r="I43" s="150" t="n"/>
      <c r="J43" s="165" t="n"/>
      <c r="L43" s="151" t="n"/>
    </row>
    <row r="44" ht="15" customHeight="1" s="121">
      <c r="A44" s="152" t="n"/>
      <c r="B44" s="153" t="n"/>
      <c r="C44" s="166" t="n"/>
      <c r="D44" s="166" t="n"/>
      <c r="E44" s="166" t="n"/>
      <c r="F44" s="166" t="n"/>
      <c r="G44" s="154" t="n"/>
      <c r="H44" s="154" t="n"/>
      <c r="I44" s="154" t="n"/>
      <c r="J44" s="167" t="n"/>
      <c r="K44" s="156" t="n"/>
      <c r="L44" s="155" t="n"/>
    </row>
    <row r="45" ht="15" customHeight="1" s="121">
      <c r="A45" s="148" t="n"/>
      <c r="B45" s="149" t="n"/>
      <c r="C45" s="164" t="n"/>
      <c r="D45" s="164" t="n"/>
      <c r="E45" s="164" t="n"/>
      <c r="F45" s="164" t="n"/>
      <c r="G45" s="150" t="n"/>
      <c r="H45" s="150" t="n"/>
      <c r="I45" s="150" t="n"/>
      <c r="J45" s="165" t="n"/>
      <c r="L45" s="151" t="n"/>
    </row>
    <row r="46" ht="15" customHeight="1" s="121">
      <c r="A46" s="152" t="n"/>
      <c r="B46" s="153" t="n"/>
      <c r="C46" s="166" t="n"/>
      <c r="D46" s="166" t="n"/>
      <c r="E46" s="166" t="n"/>
      <c r="F46" s="166" t="n"/>
      <c r="G46" s="154" t="n"/>
      <c r="H46" s="154" t="n"/>
      <c r="I46" s="154" t="n"/>
      <c r="J46" s="167" t="n"/>
      <c r="K46" s="156" t="n"/>
      <c r="L46" s="155" t="n"/>
    </row>
    <row r="47" ht="15" customHeight="1" s="121">
      <c r="A47" s="148" t="n"/>
      <c r="B47" s="149" t="n"/>
      <c r="C47" s="164" t="n"/>
      <c r="D47" s="164" t="n"/>
      <c r="E47" s="164" t="n"/>
      <c r="F47" s="164" t="n"/>
      <c r="G47" s="150" t="n"/>
      <c r="H47" s="150" t="n"/>
      <c r="I47" s="150" t="n"/>
      <c r="J47" s="165" t="n"/>
      <c r="L47" s="151" t="n"/>
    </row>
    <row r="48" ht="15" customHeight="1" s="121">
      <c r="A48" s="152" t="n"/>
      <c r="B48" s="153" t="n"/>
      <c r="C48" s="166" t="n"/>
      <c r="D48" s="166" t="n"/>
      <c r="E48" s="166" t="n"/>
      <c r="F48" s="166" t="n"/>
      <c r="G48" s="154" t="n"/>
      <c r="H48" s="154" t="n"/>
      <c r="I48" s="154" t="n"/>
      <c r="J48" s="167" t="n"/>
      <c r="K48" s="156" t="n"/>
      <c r="L48" s="155" t="n"/>
    </row>
    <row r="49" ht="21.75" customHeight="1" s="121">
      <c r="A49" s="129" t="inlineStr">
        <is>
          <t>CAMPAIGN TOTALS (sum of all floors)</t>
        </is>
      </c>
    </row>
    <row r="50" ht="15" customHeight="1" s="121">
      <c r="A50" s="168" t="inlineStr">
        <is>
          <t>TOTAL</t>
        </is>
      </c>
      <c r="B50" s="169" t="n"/>
      <c r="C50" s="170">
        <f>SUM(C19:C38)</f>
        <v/>
      </c>
      <c r="D50" s="170">
        <f>SUM(D19:D38)</f>
        <v/>
      </c>
      <c r="E50" s="170">
        <f>SUM(E19:E38)</f>
        <v/>
      </c>
      <c r="F50" s="170">
        <f>SUM(F19:F38)</f>
        <v/>
      </c>
      <c r="G50" s="171">
        <f>SUM(G19:G38)</f>
        <v/>
      </c>
      <c r="H50" s="171">
        <f>SUM(H19:H38)</f>
        <v/>
      </c>
      <c r="I50" s="171">
        <f>SUM(I19:I38)</f>
        <v/>
      </c>
      <c r="J50" s="169" t="n"/>
      <c r="K50" s="169" t="n"/>
      <c r="L50" s="169" t="n"/>
    </row>
  </sheetData>
  <mergeCells count="5">
    <mergeCell ref="A2:L2"/>
    <mergeCell ref="A49:L49"/>
    <mergeCell ref="A1:L1"/>
    <mergeCell ref="A17:L17"/>
    <mergeCell ref="A4:L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K81"/>
  <sheetViews>
    <sheetView showFormulas="0" showGridLines="0" showRowColHeaders="1" showZeros="1" rightToLeft="0" tabSelected="0" showOutlineSymbols="1" defaultGridColor="1"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20" min="1" max="1"/>
    <col width="10" customWidth="1" style="120" min="2" max="2"/>
    <col width="12" customWidth="1" style="120" min="3" max="8"/>
    <col width="14" customWidth="1" style="120" min="9" max="10"/>
    <col width="36" customWidth="1" style="120" min="11" max="11"/>
  </cols>
  <sheetData>
    <row r="1" ht="19.5" customHeight="1" s="121">
      <c r="A1" s="122" t="inlineStr">
        <is>
          <t>ENEMY STATS</t>
        </is>
      </c>
    </row>
    <row r="2" ht="15" customHeight="1" s="121">
      <c r="A2" s="123" t="inlineStr">
        <is>
          <t>Per-floor enemy HP, Damage, and AP for Common / Elite / Boss tiers. Balance Ratio = enemy HP ÷ player damage = expected turns-to-kill.</t>
        </is>
      </c>
    </row>
    <row r="4" ht="21.75" customHeight="1" s="121">
      <c r="A4" s="129" t="inlineStr">
        <is>
          <t>DRIVER INPUTS (mirrored from Assumptions — green text)</t>
        </is>
      </c>
    </row>
    <row r="5" ht="15" customHeight="1" s="121">
      <c r="A5" s="128" t="inlineStr">
        <is>
          <t>Driver</t>
        </is>
      </c>
      <c r="B5" s="128" t="inlineStr">
        <is>
          <t>Value</t>
        </is>
      </c>
    </row>
    <row r="6" ht="15" customHeight="1" s="121">
      <c r="A6" s="145" t="inlineStr">
        <is>
          <t>enemy_hp_base</t>
        </is>
      </c>
      <c r="B6" s="146">
        <f>Assumptions!$C$25</f>
        <v/>
      </c>
    </row>
    <row r="7" ht="15" customHeight="1" s="121">
      <c r="A7" s="145" t="inlineStr">
        <is>
          <t>enemy_hp_growth</t>
        </is>
      </c>
      <c r="B7" s="147">
        <f>Assumptions!$C$26</f>
        <v/>
      </c>
    </row>
    <row r="8" ht="15" customHeight="1" s="121">
      <c r="A8" s="145" t="inlineStr">
        <is>
          <t>elite_hp_multiplier</t>
        </is>
      </c>
      <c r="B8" s="163">
        <f>Assumptions!$C$27</f>
        <v/>
      </c>
    </row>
    <row r="9" ht="15" customHeight="1" s="121">
      <c r="A9" s="145" t="inlineStr">
        <is>
          <t>boss_hp_multiplier</t>
        </is>
      </c>
      <c r="B9" s="163">
        <f>Assumptions!$C$28</f>
        <v/>
      </c>
    </row>
    <row r="10" ht="15" customHeight="1" s="121">
      <c r="A10" s="145" t="inlineStr">
        <is>
          <t>enemy_dmg_base</t>
        </is>
      </c>
      <c r="B10" s="146">
        <f>Assumptions!$C$29</f>
        <v/>
      </c>
    </row>
    <row r="11" ht="15" customHeight="1" s="121">
      <c r="A11" s="145" t="inlineStr">
        <is>
          <t>enemy_dmg_growth</t>
        </is>
      </c>
      <c r="B11" s="147">
        <f>Assumptions!$C$30</f>
        <v/>
      </c>
    </row>
    <row r="12" ht="15" customHeight="1" s="121">
      <c r="A12" s="145" t="inlineStr">
        <is>
          <t>elite_dmg_multiplier</t>
        </is>
      </c>
      <c r="B12" s="163">
        <f>Assumptions!$C$31</f>
        <v/>
      </c>
    </row>
    <row r="13" ht="15" customHeight="1" s="121">
      <c r="A13" s="145" t="inlineStr">
        <is>
          <t>boss_dmg_multiplier</t>
        </is>
      </c>
      <c r="B13" s="163">
        <f>Assumptions!$C$32</f>
        <v/>
      </c>
    </row>
    <row r="14" ht="15" customHeight="1" s="121">
      <c r="A14" s="145" t="inlineStr">
        <is>
          <t>boss_every_n_floors</t>
        </is>
      </c>
      <c r="B14" s="146">
        <f>Assumptions!$C$53</f>
        <v/>
      </c>
    </row>
    <row r="15" ht="15" customHeight="1" s="121">
      <c r="A15" s="145" t="inlineStr">
        <is>
          <t>floors_per_zone</t>
        </is>
      </c>
      <c r="B15" s="146">
        <f>Assumptions!$C$9</f>
        <v/>
      </c>
    </row>
    <row r="17" ht="21.75" customHeight="1" s="121">
      <c r="A17" s="129" t="inlineStr">
        <is>
          <t>PER-FLOOR ENEMY STATS</t>
        </is>
      </c>
    </row>
    <row r="18" ht="27.75" customHeight="1" s="121">
      <c r="A18" s="128" t="inlineStr">
        <is>
          <t>Floor</t>
        </is>
      </c>
      <c r="B18" s="128" t="inlineStr">
        <is>
          <t>Zone</t>
        </is>
      </c>
      <c r="C18" s="128" t="inlineStr">
        <is>
          <t>Tier</t>
        </is>
      </c>
      <c r="D18" s="128" t="inlineStr">
        <is>
          <t>HP</t>
        </is>
      </c>
      <c r="E18" s="128" t="inlineStr">
        <is>
          <t>Damage</t>
        </is>
      </c>
      <c r="F18" s="128" t="inlineStr">
        <is>
          <t>Player Dmg</t>
        </is>
      </c>
      <c r="G18" s="128" t="inlineStr">
        <is>
          <t>Turns-to-Kill</t>
        </is>
      </c>
      <c r="H18" s="128" t="inlineStr">
        <is>
          <t>vs Floor 1 HP</t>
        </is>
      </c>
      <c r="I18" s="128" t="inlineStr">
        <is>
          <t>Boss?</t>
        </is>
      </c>
      <c r="J18" s="128" t="n"/>
      <c r="K18" s="128" t="inlineStr">
        <is>
          <t>Notes</t>
        </is>
      </c>
    </row>
    <row r="19" ht="15" customHeight="1" s="121">
      <c r="A19" s="148" t="n">
        <v>1</v>
      </c>
      <c r="B19" s="149">
        <f>CEILING(A19/$B$15,1)</f>
        <v/>
      </c>
      <c r="C19" s="172" t="inlineStr">
        <is>
          <t>Common</t>
        </is>
      </c>
      <c r="D19" s="149">
        <f>$B$6*(1+$B$7)^(A19-1)</f>
        <v/>
      </c>
      <c r="E19" s="149">
        <f>$B$10*(1+$B$11)^(A19-1)</f>
        <v/>
      </c>
      <c r="F19" s="146">
        <f>'Player Stats Curve'!$C$16</f>
        <v/>
      </c>
      <c r="G19" s="149">
        <f>IF(F19=0,"—",CEILING(D19/F19,1))</f>
        <v/>
      </c>
      <c r="H19" s="150">
        <f>D19/$D$19</f>
        <v/>
      </c>
      <c r="I19" s="172" t="n"/>
      <c r="K19" s="151" t="inlineStr">
        <is>
          <t>Tutorial — tune HP down if needed.</t>
        </is>
      </c>
    </row>
    <row r="20" ht="15" customHeight="1" s="121">
      <c r="A20" s="148" t="n">
        <v>1</v>
      </c>
      <c r="B20" s="149">
        <f>CEILING(A20/$B$15,1)</f>
        <v/>
      </c>
      <c r="C20" s="172" t="inlineStr">
        <is>
          <t>Elite</t>
        </is>
      </c>
      <c r="D20" s="149">
        <f>$B$6*(1+$B$7)^(A20-1)*$B$8</f>
        <v/>
      </c>
      <c r="E20" s="149">
        <f>$B$10*(1+$B$11)^(A20-1)*$B$12</f>
        <v/>
      </c>
      <c r="F20" s="146">
        <f>'Player Stats Curve'!$C$16</f>
        <v/>
      </c>
      <c r="G20" s="149">
        <f>IF(F20=0,"—",CEILING(D20/F20,1))</f>
        <v/>
      </c>
      <c r="H20" s="150">
        <f>D20/$D$19</f>
        <v/>
      </c>
      <c r="I20" s="172" t="n"/>
      <c r="K20" s="151" t="n"/>
    </row>
    <row r="21" ht="15" customHeight="1" s="121">
      <c r="A21" s="152" t="n">
        <v>2</v>
      </c>
      <c r="B21" s="153">
        <f>CEILING(A21/$B$15,1)</f>
        <v/>
      </c>
      <c r="C21" s="173" t="inlineStr">
        <is>
          <t>Common</t>
        </is>
      </c>
      <c r="D21" s="153">
        <f>$B$6*(1+$B$7)^(A21-1)</f>
        <v/>
      </c>
      <c r="E21" s="153">
        <f>$B$10*(1+$B$11)^(A21-1)</f>
        <v/>
      </c>
      <c r="F21" s="174">
        <f>'Player Stats Curve'!$C$17</f>
        <v/>
      </c>
      <c r="G21" s="153">
        <f>IF(F21=0,"—",CEILING(D21/F21,1))</f>
        <v/>
      </c>
      <c r="H21" s="154">
        <f>D21/$D$19</f>
        <v/>
      </c>
      <c r="I21" s="173" t="n"/>
      <c r="J21" s="156" t="n"/>
      <c r="K21" s="155" t="n"/>
    </row>
    <row r="22" ht="15" customHeight="1" s="121">
      <c r="A22" s="152" t="n">
        <v>2</v>
      </c>
      <c r="B22" s="153">
        <f>CEILING(A22/$B$15,1)</f>
        <v/>
      </c>
      <c r="C22" s="173" t="inlineStr">
        <is>
          <t>Elite</t>
        </is>
      </c>
      <c r="D22" s="153">
        <f>$B$6*(1+$B$7)^(A22-1)*$B$8</f>
        <v/>
      </c>
      <c r="E22" s="153">
        <f>$B$10*(1+$B$11)^(A22-1)*$B$12</f>
        <v/>
      </c>
      <c r="F22" s="174">
        <f>'Player Stats Curve'!$C$17</f>
        <v/>
      </c>
      <c r="G22" s="153">
        <f>IF(F22=0,"—",CEILING(D22/F22,1))</f>
        <v/>
      </c>
      <c r="H22" s="154">
        <f>D22/$D$19</f>
        <v/>
      </c>
      <c r="I22" s="173" t="n"/>
      <c r="J22" s="156" t="n"/>
      <c r="K22" s="155" t="n"/>
    </row>
    <row r="23" ht="15" customHeight="1" s="121">
      <c r="A23" s="148" t="n">
        <v>3</v>
      </c>
      <c r="B23" s="149">
        <f>CEILING(A23/$B$15,1)</f>
        <v/>
      </c>
      <c r="C23" s="172" t="inlineStr">
        <is>
          <t>Common</t>
        </is>
      </c>
      <c r="D23" s="149">
        <f>$B$6*(1+$B$7)^(A23-1)</f>
        <v/>
      </c>
      <c r="E23" s="149">
        <f>$B$10*(1+$B$11)^(A23-1)</f>
        <v/>
      </c>
      <c r="F23" s="146">
        <f>'Player Stats Curve'!$C$18</f>
        <v/>
      </c>
      <c r="G23" s="149">
        <f>IF(F23=0,"—",CEILING(D23/F23,1))</f>
        <v/>
      </c>
      <c r="H23" s="150">
        <f>D23/$D$19</f>
        <v/>
      </c>
      <c r="I23" s="172" t="n"/>
      <c r="K23" s="151" t="n"/>
    </row>
    <row r="24" ht="15" customHeight="1" s="121">
      <c r="A24" s="148" t="n">
        <v>3</v>
      </c>
      <c r="B24" s="149">
        <f>CEILING(A24/$B$15,1)</f>
        <v/>
      </c>
      <c r="C24" s="172" t="inlineStr">
        <is>
          <t>Elite</t>
        </is>
      </c>
      <c r="D24" s="149">
        <f>$B$6*(1+$B$7)^(A24-1)*$B$8</f>
        <v/>
      </c>
      <c r="E24" s="149">
        <f>$B$10*(1+$B$11)^(A24-1)*$B$12</f>
        <v/>
      </c>
      <c r="F24" s="146">
        <f>'Player Stats Curve'!$C$18</f>
        <v/>
      </c>
      <c r="G24" s="149">
        <f>IF(F24=0,"—",CEILING(D24/F24,1))</f>
        <v/>
      </c>
      <c r="H24" s="150">
        <f>D24/$D$19</f>
        <v/>
      </c>
      <c r="I24" s="172" t="n"/>
      <c r="K24" s="151" t="n"/>
    </row>
    <row r="25" ht="15" customHeight="1" s="121">
      <c r="A25" s="152" t="n">
        <v>4</v>
      </c>
      <c r="B25" s="153">
        <f>CEILING(A25/$B$15,1)</f>
        <v/>
      </c>
      <c r="C25" s="173" t="inlineStr">
        <is>
          <t>Common</t>
        </is>
      </c>
      <c r="D25" s="153">
        <f>$B$6*(1+$B$7)^(A25-1)</f>
        <v/>
      </c>
      <c r="E25" s="153">
        <f>$B$10*(1+$B$11)^(A25-1)</f>
        <v/>
      </c>
      <c r="F25" s="174">
        <f>'Player Stats Curve'!$C$19</f>
        <v/>
      </c>
      <c r="G25" s="153">
        <f>IF(F25=0,"—",CEILING(D25/F25,1))</f>
        <v/>
      </c>
      <c r="H25" s="154">
        <f>D25/$D$19</f>
        <v/>
      </c>
      <c r="I25" s="173" t="n"/>
      <c r="J25" s="156" t="n"/>
      <c r="K25" s="155" t="n"/>
    </row>
    <row r="26" ht="15" customHeight="1" s="121">
      <c r="A26" s="152" t="n">
        <v>4</v>
      </c>
      <c r="B26" s="153">
        <f>CEILING(A26/$B$15,1)</f>
        <v/>
      </c>
      <c r="C26" s="173" t="inlineStr">
        <is>
          <t>Elite</t>
        </is>
      </c>
      <c r="D26" s="153">
        <f>$B$6*(1+$B$7)^(A26-1)*$B$8</f>
        <v/>
      </c>
      <c r="E26" s="153">
        <f>$B$10*(1+$B$11)^(A26-1)*$B$12</f>
        <v/>
      </c>
      <c r="F26" s="174">
        <f>'Player Stats Curve'!$C$19</f>
        <v/>
      </c>
      <c r="G26" s="153">
        <f>IF(F26=0,"—",CEILING(D26/F26,1))</f>
        <v/>
      </c>
      <c r="H26" s="154">
        <f>D26/$D$19</f>
        <v/>
      </c>
      <c r="I26" s="173" t="n"/>
      <c r="J26" s="156" t="n"/>
      <c r="K26" s="155" t="n"/>
    </row>
    <row r="27" ht="15" customHeight="1" s="121">
      <c r="A27" s="148" t="n">
        <v>5</v>
      </c>
      <c r="B27" s="149">
        <f>CEILING(A27/$B$15,1)</f>
        <v/>
      </c>
      <c r="C27" s="172" t="inlineStr">
        <is>
          <t>Common</t>
        </is>
      </c>
      <c r="D27" s="149">
        <f>$B$6*(1+$B$7)^(A27-1)</f>
        <v/>
      </c>
      <c r="E27" s="149">
        <f>$B$10*(1+$B$11)^(A27-1)</f>
        <v/>
      </c>
      <c r="F27" s="146">
        <f>'Player Stats Curve'!$C$20</f>
        <v/>
      </c>
      <c r="G27" s="149">
        <f>IF(F27=0,"—",CEILING(D27/F27,1))</f>
        <v/>
      </c>
      <c r="H27" s="150">
        <f>D27/$D$19</f>
        <v/>
      </c>
      <c r="I27" s="172" t="n"/>
      <c r="K27" s="151" t="n"/>
    </row>
    <row r="28" ht="15" customHeight="1" s="121">
      <c r="A28" s="148" t="n">
        <v>5</v>
      </c>
      <c r="B28" s="149">
        <f>CEILING(A28/$B$15,1)</f>
        <v/>
      </c>
      <c r="C28" s="172" t="inlineStr">
        <is>
          <t>Boss</t>
        </is>
      </c>
      <c r="D28" s="149">
        <f>$B$6*(1+$B$7)^(A28-1)*$B$9</f>
        <v/>
      </c>
      <c r="E28" s="149">
        <f>$B$10*(1+$B$11)^(A28-1)*$B$13</f>
        <v/>
      </c>
      <c r="F28" s="146">
        <f>'Player Stats Curve'!$C$20</f>
        <v/>
      </c>
      <c r="G28" s="149">
        <f>IF(F28=0,"—",CEILING(D28/F28,1))</f>
        <v/>
      </c>
      <c r="H28" s="150">
        <f>D28/$D$19</f>
        <v/>
      </c>
      <c r="I28" s="172" t="inlineStr">
        <is>
          <t>Yes</t>
        </is>
      </c>
      <c r="K28" s="151" t="inlineStr">
        <is>
          <t>Zone 1 boss</t>
        </is>
      </c>
    </row>
    <row r="29" ht="15" customHeight="1" s="121">
      <c r="A29" s="152" t="n">
        <v>6</v>
      </c>
      <c r="B29" s="153">
        <f>CEILING(A29/$B$15,1)</f>
        <v/>
      </c>
      <c r="C29" s="173" t="inlineStr">
        <is>
          <t>Common</t>
        </is>
      </c>
      <c r="D29" s="153">
        <f>$B$6*(1+$B$7)^(A29-1)</f>
        <v/>
      </c>
      <c r="E29" s="153">
        <f>$B$10*(1+$B$11)^(A29-1)</f>
        <v/>
      </c>
      <c r="F29" s="174">
        <f>'Player Stats Curve'!$C$21</f>
        <v/>
      </c>
      <c r="G29" s="153">
        <f>IF(F29=0,"—",CEILING(D29/F29,1))</f>
        <v/>
      </c>
      <c r="H29" s="154">
        <f>D29/$D$19</f>
        <v/>
      </c>
      <c r="I29" s="173" t="n"/>
      <c r="J29" s="156" t="n"/>
      <c r="K29" s="155" t="n"/>
    </row>
    <row r="30" ht="15" customHeight="1" s="121">
      <c r="A30" s="152" t="n">
        <v>6</v>
      </c>
      <c r="B30" s="153">
        <f>CEILING(A30/$B$15,1)</f>
        <v/>
      </c>
      <c r="C30" s="173" t="inlineStr">
        <is>
          <t>Elite</t>
        </is>
      </c>
      <c r="D30" s="153">
        <f>$B$6*(1+$B$7)^(A30-1)*$B$8</f>
        <v/>
      </c>
      <c r="E30" s="153">
        <f>$B$10*(1+$B$11)^(A30-1)*$B$12</f>
        <v/>
      </c>
      <c r="F30" s="174">
        <f>'Player Stats Curve'!$C$21</f>
        <v/>
      </c>
      <c r="G30" s="153">
        <f>IF(F30=0,"—",CEILING(D30/F30,1))</f>
        <v/>
      </c>
      <c r="H30" s="154">
        <f>D30/$D$19</f>
        <v/>
      </c>
      <c r="I30" s="173" t="n"/>
      <c r="J30" s="156" t="n"/>
      <c r="K30" s="155" t="n"/>
    </row>
    <row r="31" ht="15" customHeight="1" s="121">
      <c r="A31" s="148" t="n">
        <v>7</v>
      </c>
      <c r="B31" s="149">
        <f>CEILING(A31/$B$15,1)</f>
        <v/>
      </c>
      <c r="C31" s="172" t="inlineStr">
        <is>
          <t>Common</t>
        </is>
      </c>
      <c r="D31" s="149">
        <f>$B$6*(1+$B$7)^(A31-1)</f>
        <v/>
      </c>
      <c r="E31" s="149">
        <f>$B$10*(1+$B$11)^(A31-1)</f>
        <v/>
      </c>
      <c r="F31" s="146">
        <f>'Player Stats Curve'!$C$22</f>
        <v/>
      </c>
      <c r="G31" s="149">
        <f>IF(F31=0,"—",CEILING(D31/F31,1))</f>
        <v/>
      </c>
      <c r="H31" s="150">
        <f>D31/$D$19</f>
        <v/>
      </c>
      <c r="I31" s="172" t="n"/>
      <c r="K31" s="151" t="n"/>
    </row>
    <row r="32" ht="15" customHeight="1" s="121">
      <c r="A32" s="148" t="n">
        <v>7</v>
      </c>
      <c r="B32" s="149">
        <f>CEILING(A32/$B$15,1)</f>
        <v/>
      </c>
      <c r="C32" s="172" t="inlineStr">
        <is>
          <t>Elite</t>
        </is>
      </c>
      <c r="D32" s="149">
        <f>$B$6*(1+$B$7)^(A32-1)*$B$8</f>
        <v/>
      </c>
      <c r="E32" s="149">
        <f>$B$10*(1+$B$11)^(A32-1)*$B$12</f>
        <v/>
      </c>
      <c r="F32" s="146">
        <f>'Player Stats Curve'!$C$22</f>
        <v/>
      </c>
      <c r="G32" s="149">
        <f>IF(F32=0,"—",CEILING(D32/F32,1))</f>
        <v/>
      </c>
      <c r="H32" s="150">
        <f>D32/$D$19</f>
        <v/>
      </c>
      <c r="I32" s="172" t="n"/>
      <c r="K32" s="151" t="n"/>
    </row>
    <row r="33" ht="15" customHeight="1" s="121">
      <c r="A33" s="152" t="n">
        <v>8</v>
      </c>
      <c r="B33" s="153">
        <f>CEILING(A33/$B$15,1)</f>
        <v/>
      </c>
      <c r="C33" s="173" t="inlineStr">
        <is>
          <t>Common</t>
        </is>
      </c>
      <c r="D33" s="153">
        <f>$B$6*(1+$B$7)^(A33-1)</f>
        <v/>
      </c>
      <c r="E33" s="153">
        <f>$B$10*(1+$B$11)^(A33-1)</f>
        <v/>
      </c>
      <c r="F33" s="174">
        <f>'Player Stats Curve'!$C$23</f>
        <v/>
      </c>
      <c r="G33" s="153">
        <f>IF(F33=0,"—",CEILING(D33/F33,1))</f>
        <v/>
      </c>
      <c r="H33" s="154">
        <f>D33/$D$19</f>
        <v/>
      </c>
      <c r="I33" s="173" t="n"/>
      <c r="J33" s="156" t="n"/>
      <c r="K33" s="155" t="n"/>
    </row>
    <row r="34" ht="15" customHeight="1" s="121">
      <c r="A34" s="152" t="n">
        <v>8</v>
      </c>
      <c r="B34" s="153">
        <f>CEILING(A34/$B$15,1)</f>
        <v/>
      </c>
      <c r="C34" s="173" t="inlineStr">
        <is>
          <t>Elite</t>
        </is>
      </c>
      <c r="D34" s="153">
        <f>$B$6*(1+$B$7)^(A34-1)*$B$8</f>
        <v/>
      </c>
      <c r="E34" s="153">
        <f>$B$10*(1+$B$11)^(A34-1)*$B$12</f>
        <v/>
      </c>
      <c r="F34" s="174">
        <f>'Player Stats Curve'!$C$23</f>
        <v/>
      </c>
      <c r="G34" s="153">
        <f>IF(F34=0,"—",CEILING(D34/F34,1))</f>
        <v/>
      </c>
      <c r="H34" s="154">
        <f>D34/$D$19</f>
        <v/>
      </c>
      <c r="I34" s="173" t="n"/>
      <c r="J34" s="156" t="n"/>
      <c r="K34" s="155" t="n"/>
    </row>
    <row r="35" ht="15" customHeight="1" s="121">
      <c r="A35" s="148" t="n">
        <v>9</v>
      </c>
      <c r="B35" s="149">
        <f>CEILING(A35/$B$15,1)</f>
        <v/>
      </c>
      <c r="C35" s="172" t="inlineStr">
        <is>
          <t>Common</t>
        </is>
      </c>
      <c r="D35" s="149">
        <f>$B$6*(1+$B$7)^(A35-1)</f>
        <v/>
      </c>
      <c r="E35" s="149">
        <f>$B$10*(1+$B$11)^(A35-1)</f>
        <v/>
      </c>
      <c r="F35" s="146">
        <f>'Player Stats Curve'!$C$24</f>
        <v/>
      </c>
      <c r="G35" s="149">
        <f>IF(F35=0,"—",CEILING(D35/F35,1))</f>
        <v/>
      </c>
      <c r="H35" s="150">
        <f>D35/$D$19</f>
        <v/>
      </c>
      <c r="I35" s="172" t="n"/>
      <c r="K35" s="151" t="n"/>
    </row>
    <row r="36" ht="15" customHeight="1" s="121">
      <c r="A36" s="148" t="n">
        <v>9</v>
      </c>
      <c r="B36" s="149">
        <f>CEILING(A36/$B$15,1)</f>
        <v/>
      </c>
      <c r="C36" s="172" t="inlineStr">
        <is>
          <t>Elite</t>
        </is>
      </c>
      <c r="D36" s="149">
        <f>$B$6*(1+$B$7)^(A36-1)*$B$8</f>
        <v/>
      </c>
      <c r="E36" s="149">
        <f>$B$10*(1+$B$11)^(A36-1)*$B$12</f>
        <v/>
      </c>
      <c r="F36" s="146">
        <f>'Player Stats Curve'!$C$24</f>
        <v/>
      </c>
      <c r="G36" s="149">
        <f>IF(F36=0,"—",CEILING(D36/F36,1))</f>
        <v/>
      </c>
      <c r="H36" s="150">
        <f>D36/$D$19</f>
        <v/>
      </c>
      <c r="I36" s="172" t="n"/>
      <c r="K36" s="151" t="n"/>
    </row>
    <row r="37" ht="15" customHeight="1" s="121">
      <c r="A37" s="152" t="n">
        <v>10</v>
      </c>
      <c r="B37" s="153">
        <f>CEILING(A37/$B$15,1)</f>
        <v/>
      </c>
      <c r="C37" s="173" t="inlineStr">
        <is>
          <t>Common</t>
        </is>
      </c>
      <c r="D37" s="153">
        <f>$B$6*(1+$B$7)^(A37-1)</f>
        <v/>
      </c>
      <c r="E37" s="153">
        <f>$B$10*(1+$B$11)^(A37-1)</f>
        <v/>
      </c>
      <c r="F37" s="174">
        <f>'Player Stats Curve'!$C$25</f>
        <v/>
      </c>
      <c r="G37" s="153">
        <f>IF(F37=0,"—",CEILING(D37/F37,1))</f>
        <v/>
      </c>
      <c r="H37" s="154">
        <f>D37/$D$19</f>
        <v/>
      </c>
      <c r="I37" s="173" t="n"/>
      <c r="J37" s="156" t="n"/>
      <c r="K37" s="155" t="n"/>
    </row>
    <row r="38" ht="15" customHeight="1" s="121">
      <c r="A38" s="152" t="n">
        <v>10</v>
      </c>
      <c r="B38" s="153">
        <f>CEILING(A38/$B$15,1)</f>
        <v/>
      </c>
      <c r="C38" s="173" t="inlineStr">
        <is>
          <t>Boss</t>
        </is>
      </c>
      <c r="D38" s="153">
        <f>$B$6*(1+$B$7)^(A38-1)*$B$9</f>
        <v/>
      </c>
      <c r="E38" s="153">
        <f>$B$10*(1+$B$11)^(A38-1)*$B$13</f>
        <v/>
      </c>
      <c r="F38" s="174">
        <f>'Player Stats Curve'!$C$25</f>
        <v/>
      </c>
      <c r="G38" s="153">
        <f>IF(F38=0,"—",CEILING(D38/F38,1))</f>
        <v/>
      </c>
      <c r="H38" s="154">
        <f>D38/$D$19</f>
        <v/>
      </c>
      <c r="I38" s="173" t="inlineStr">
        <is>
          <t>Yes</t>
        </is>
      </c>
      <c r="J38" s="156" t="n"/>
      <c r="K38" s="155" t="inlineStr">
        <is>
          <t>Zone 2 boss</t>
        </is>
      </c>
    </row>
    <row r="39" ht="15" customHeight="1" s="121">
      <c r="A39" s="148" t="n">
        <v>11</v>
      </c>
      <c r="B39" s="149">
        <f>CEILING(A39/$B$15,1)</f>
        <v/>
      </c>
      <c r="C39" s="172" t="inlineStr">
        <is>
          <t>Common</t>
        </is>
      </c>
      <c r="D39" s="149">
        <f>$B$6*(1+$B$7)^(A39-1)</f>
        <v/>
      </c>
      <c r="E39" s="149">
        <f>$B$10*(1+$B$11)^(A39-1)</f>
        <v/>
      </c>
      <c r="F39" s="146">
        <f>'Player Stats Curve'!$C$26</f>
        <v/>
      </c>
      <c r="G39" s="149">
        <f>IF(F39=0,"—",CEILING(D39/F39,1))</f>
        <v/>
      </c>
      <c r="H39" s="150">
        <f>D39/$D$19</f>
        <v/>
      </c>
      <c r="I39" s="172" t="n"/>
      <c r="K39" s="151" t="n"/>
    </row>
    <row r="40" ht="15" customHeight="1" s="121">
      <c r="A40" s="148" t="n">
        <v>11</v>
      </c>
      <c r="B40" s="149">
        <f>CEILING(A40/$B$15,1)</f>
        <v/>
      </c>
      <c r="C40" s="172" t="inlineStr">
        <is>
          <t>Elite</t>
        </is>
      </c>
      <c r="D40" s="149">
        <f>$B$6*(1+$B$7)^(A40-1)*$B$8</f>
        <v/>
      </c>
      <c r="E40" s="149">
        <f>$B$10*(1+$B$11)^(A40-1)*$B$12</f>
        <v/>
      </c>
      <c r="F40" s="146">
        <f>'Player Stats Curve'!$C$26</f>
        <v/>
      </c>
      <c r="G40" s="149">
        <f>IF(F40=0,"—",CEILING(D40/F40,1))</f>
        <v/>
      </c>
      <c r="H40" s="150">
        <f>D40/$D$19</f>
        <v/>
      </c>
      <c r="I40" s="172" t="n"/>
      <c r="K40" s="151" t="n"/>
    </row>
    <row r="41" ht="15" customHeight="1" s="121">
      <c r="A41" s="152" t="n">
        <v>12</v>
      </c>
      <c r="B41" s="153">
        <f>CEILING(A41/$B$15,1)</f>
        <v/>
      </c>
      <c r="C41" s="173" t="inlineStr">
        <is>
          <t>Common</t>
        </is>
      </c>
      <c r="D41" s="153">
        <f>$B$6*(1+$B$7)^(A41-1)</f>
        <v/>
      </c>
      <c r="E41" s="153">
        <f>$B$10*(1+$B$11)^(A41-1)</f>
        <v/>
      </c>
      <c r="F41" s="174">
        <f>'Player Stats Curve'!$C$27</f>
        <v/>
      </c>
      <c r="G41" s="153">
        <f>IF(F41=0,"—",CEILING(D41/F41,1))</f>
        <v/>
      </c>
      <c r="H41" s="154">
        <f>D41/$D$19</f>
        <v/>
      </c>
      <c r="I41" s="173" t="n"/>
      <c r="J41" s="156" t="n"/>
      <c r="K41" s="155" t="n"/>
    </row>
    <row r="42" ht="15" customHeight="1" s="121">
      <c r="A42" s="152" t="n">
        <v>12</v>
      </c>
      <c r="B42" s="153">
        <f>CEILING(A42/$B$15,1)</f>
        <v/>
      </c>
      <c r="C42" s="173" t="inlineStr">
        <is>
          <t>Elite</t>
        </is>
      </c>
      <c r="D42" s="153">
        <f>$B$6*(1+$B$7)^(A42-1)*$B$8</f>
        <v/>
      </c>
      <c r="E42" s="153">
        <f>$B$10*(1+$B$11)^(A42-1)*$B$12</f>
        <v/>
      </c>
      <c r="F42" s="174">
        <f>'Player Stats Curve'!$C$27</f>
        <v/>
      </c>
      <c r="G42" s="153">
        <f>IF(F42=0,"—",CEILING(D42/F42,1))</f>
        <v/>
      </c>
      <c r="H42" s="154">
        <f>D42/$D$19</f>
        <v/>
      </c>
      <c r="I42" s="173" t="n"/>
      <c r="J42" s="156" t="n"/>
      <c r="K42" s="155" t="n"/>
    </row>
    <row r="43" ht="15" customHeight="1" s="121">
      <c r="A43" s="148" t="n">
        <v>13</v>
      </c>
      <c r="B43" s="149">
        <f>CEILING(A43/$B$15,1)</f>
        <v/>
      </c>
      <c r="C43" s="172" t="inlineStr">
        <is>
          <t>Common</t>
        </is>
      </c>
      <c r="D43" s="149">
        <f>$B$6*(1+$B$7)^(A43-1)</f>
        <v/>
      </c>
      <c r="E43" s="149">
        <f>$B$10*(1+$B$11)^(A43-1)</f>
        <v/>
      </c>
      <c r="F43" s="146">
        <f>'Player Stats Curve'!$C$28</f>
        <v/>
      </c>
      <c r="G43" s="149">
        <f>IF(F43=0,"—",CEILING(D43/F43,1))</f>
        <v/>
      </c>
      <c r="H43" s="150">
        <f>D43/$D$19</f>
        <v/>
      </c>
      <c r="I43" s="172" t="n"/>
      <c r="K43" s="151" t="n"/>
    </row>
    <row r="44" ht="15" customHeight="1" s="121">
      <c r="A44" s="148" t="n">
        <v>13</v>
      </c>
      <c r="B44" s="149">
        <f>CEILING(A44/$B$15,1)</f>
        <v/>
      </c>
      <c r="C44" s="172" t="inlineStr">
        <is>
          <t>Elite</t>
        </is>
      </c>
      <c r="D44" s="149">
        <f>$B$6*(1+$B$7)^(A44-1)*$B$8</f>
        <v/>
      </c>
      <c r="E44" s="149">
        <f>$B$10*(1+$B$11)^(A44-1)*$B$12</f>
        <v/>
      </c>
      <c r="F44" s="146">
        <f>'Player Stats Curve'!$C$28</f>
        <v/>
      </c>
      <c r="G44" s="149">
        <f>IF(F44=0,"—",CEILING(D44/F44,1))</f>
        <v/>
      </c>
      <c r="H44" s="150">
        <f>D44/$D$19</f>
        <v/>
      </c>
      <c r="I44" s="172" t="n"/>
      <c r="K44" s="151" t="n"/>
    </row>
    <row r="45" ht="15" customHeight="1" s="121">
      <c r="A45" s="152" t="n">
        <v>14</v>
      </c>
      <c r="B45" s="153">
        <f>CEILING(A45/$B$15,1)</f>
        <v/>
      </c>
      <c r="C45" s="173" t="inlineStr">
        <is>
          <t>Common</t>
        </is>
      </c>
      <c r="D45" s="153">
        <f>$B$6*(1+$B$7)^(A45-1)</f>
        <v/>
      </c>
      <c r="E45" s="153">
        <f>$B$10*(1+$B$11)^(A45-1)</f>
        <v/>
      </c>
      <c r="F45" s="174">
        <f>'Player Stats Curve'!$C$29</f>
        <v/>
      </c>
      <c r="G45" s="153">
        <f>IF(F45=0,"—",CEILING(D45/F45,1))</f>
        <v/>
      </c>
      <c r="H45" s="154">
        <f>D45/$D$19</f>
        <v/>
      </c>
      <c r="I45" s="173" t="n"/>
      <c r="J45" s="156" t="n"/>
      <c r="K45" s="155" t="n"/>
    </row>
    <row r="46" ht="15" customHeight="1" s="121">
      <c r="A46" s="152" t="n">
        <v>14</v>
      </c>
      <c r="B46" s="153">
        <f>CEILING(A46/$B$15,1)</f>
        <v/>
      </c>
      <c r="C46" s="173" t="inlineStr">
        <is>
          <t>Elite</t>
        </is>
      </c>
      <c r="D46" s="153">
        <f>$B$6*(1+$B$7)^(A46-1)*$B$8</f>
        <v/>
      </c>
      <c r="E46" s="153">
        <f>$B$10*(1+$B$11)^(A46-1)*$B$12</f>
        <v/>
      </c>
      <c r="F46" s="174">
        <f>'Player Stats Curve'!$C$29</f>
        <v/>
      </c>
      <c r="G46" s="153">
        <f>IF(F46=0,"—",CEILING(D46/F46,1))</f>
        <v/>
      </c>
      <c r="H46" s="154">
        <f>D46/$D$19</f>
        <v/>
      </c>
      <c r="I46" s="173" t="n"/>
      <c r="J46" s="156" t="n"/>
      <c r="K46" s="155" t="n"/>
    </row>
    <row r="47" ht="15" customHeight="1" s="121">
      <c r="A47" s="148" t="n">
        <v>15</v>
      </c>
      <c r="B47" s="149">
        <f>CEILING(A47/$B$15,1)</f>
        <v/>
      </c>
      <c r="C47" s="172" t="inlineStr">
        <is>
          <t>Common</t>
        </is>
      </c>
      <c r="D47" s="149">
        <f>$B$6*(1+$B$7)^(A47-1)</f>
        <v/>
      </c>
      <c r="E47" s="149">
        <f>$B$10*(1+$B$11)^(A47-1)</f>
        <v/>
      </c>
      <c r="F47" s="146">
        <f>'Player Stats Curve'!$C$30</f>
        <v/>
      </c>
      <c r="G47" s="149">
        <f>IF(F47=0,"—",CEILING(D47/F47,1))</f>
        <v/>
      </c>
      <c r="H47" s="150">
        <f>D47/$D$19</f>
        <v/>
      </c>
      <c r="I47" s="172" t="n"/>
      <c r="K47" s="151" t="n"/>
    </row>
    <row r="48" ht="15" customHeight="1" s="121">
      <c r="A48" s="148" t="n">
        <v>15</v>
      </c>
      <c r="B48" s="149">
        <f>CEILING(A48/$B$15,1)</f>
        <v/>
      </c>
      <c r="C48" s="172" t="inlineStr">
        <is>
          <t>Boss</t>
        </is>
      </c>
      <c r="D48" s="149">
        <f>$B$6*(1+$B$7)^(A48-1)*$B$9</f>
        <v/>
      </c>
      <c r="E48" s="149">
        <f>$B$10*(1+$B$11)^(A48-1)*$B$13</f>
        <v/>
      </c>
      <c r="F48" s="146">
        <f>'Player Stats Curve'!$C$30</f>
        <v/>
      </c>
      <c r="G48" s="149">
        <f>IF(F48=0,"—",CEILING(D48/F48,1))</f>
        <v/>
      </c>
      <c r="H48" s="150">
        <f>D48/$D$19</f>
        <v/>
      </c>
      <c r="I48" s="172" t="inlineStr">
        <is>
          <t>Yes</t>
        </is>
      </c>
      <c r="K48" s="151" t="inlineStr">
        <is>
          <t>Zone 3 boss</t>
        </is>
      </c>
    </row>
    <row r="49" ht="15" customHeight="1" s="121">
      <c r="A49" s="152" t="n">
        <v>16</v>
      </c>
      <c r="B49" s="153">
        <f>CEILING(A49/$B$15,1)</f>
        <v/>
      </c>
      <c r="C49" s="173" t="inlineStr">
        <is>
          <t>Common</t>
        </is>
      </c>
      <c r="D49" s="153">
        <f>$B$6*(1+$B$7)^(A49-1)</f>
        <v/>
      </c>
      <c r="E49" s="153">
        <f>$B$10*(1+$B$11)^(A49-1)</f>
        <v/>
      </c>
      <c r="F49" s="174">
        <f>'Player Stats Curve'!$C$31</f>
        <v/>
      </c>
      <c r="G49" s="153">
        <f>IF(F49=0,"—",CEILING(D49/F49,1))</f>
        <v/>
      </c>
      <c r="H49" s="154">
        <f>D49/$D$19</f>
        <v/>
      </c>
      <c r="I49" s="173" t="n"/>
      <c r="J49" s="156" t="n"/>
      <c r="K49" s="155" t="n"/>
    </row>
    <row r="50" ht="15" customHeight="1" s="121">
      <c r="A50" s="152" t="n">
        <v>16</v>
      </c>
      <c r="B50" s="153">
        <f>CEILING(A50/$B$15,1)</f>
        <v/>
      </c>
      <c r="C50" s="173" t="inlineStr">
        <is>
          <t>Elite</t>
        </is>
      </c>
      <c r="D50" s="153">
        <f>$B$6*(1+$B$7)^(A50-1)*$B$8</f>
        <v/>
      </c>
      <c r="E50" s="153">
        <f>$B$10*(1+$B$11)^(A50-1)*$B$12</f>
        <v/>
      </c>
      <c r="F50" s="174">
        <f>'Player Stats Curve'!$C$31</f>
        <v/>
      </c>
      <c r="G50" s="153">
        <f>IF(F50=0,"—",CEILING(D50/F50,1))</f>
        <v/>
      </c>
      <c r="H50" s="154">
        <f>D50/$D$19</f>
        <v/>
      </c>
      <c r="I50" s="173" t="n"/>
      <c r="J50" s="156" t="n"/>
      <c r="K50" s="155" t="n"/>
    </row>
    <row r="51" ht="15" customHeight="1" s="121">
      <c r="A51" s="148" t="n">
        <v>17</v>
      </c>
      <c r="B51" s="149">
        <f>CEILING(A51/$B$15,1)</f>
        <v/>
      </c>
      <c r="C51" s="172" t="inlineStr">
        <is>
          <t>Common</t>
        </is>
      </c>
      <c r="D51" s="149">
        <f>$B$6*(1+$B$7)^(A51-1)</f>
        <v/>
      </c>
      <c r="E51" s="149">
        <f>$B$10*(1+$B$11)^(A51-1)</f>
        <v/>
      </c>
      <c r="F51" s="146">
        <f>'Player Stats Curve'!$C$32</f>
        <v/>
      </c>
      <c r="G51" s="149">
        <f>IF(F51=0,"—",CEILING(D51/F51,1))</f>
        <v/>
      </c>
      <c r="H51" s="150">
        <f>D51/$D$19</f>
        <v/>
      </c>
      <c r="I51" s="172" t="n"/>
      <c r="K51" s="151" t="n"/>
    </row>
    <row r="52" ht="15" customHeight="1" s="121">
      <c r="A52" s="148" t="n">
        <v>17</v>
      </c>
      <c r="B52" s="149">
        <f>CEILING(A52/$B$15,1)</f>
        <v/>
      </c>
      <c r="C52" s="172" t="inlineStr">
        <is>
          <t>Elite</t>
        </is>
      </c>
      <c r="D52" s="149">
        <f>$B$6*(1+$B$7)^(A52-1)*$B$8</f>
        <v/>
      </c>
      <c r="E52" s="149">
        <f>$B$10*(1+$B$11)^(A52-1)*$B$12</f>
        <v/>
      </c>
      <c r="F52" s="146">
        <f>'Player Stats Curve'!$C$32</f>
        <v/>
      </c>
      <c r="G52" s="149">
        <f>IF(F52=0,"—",CEILING(D52/F52,1))</f>
        <v/>
      </c>
      <c r="H52" s="150">
        <f>D52/$D$19</f>
        <v/>
      </c>
      <c r="I52" s="172" t="n"/>
      <c r="K52" s="151" t="n"/>
    </row>
    <row r="53" ht="15" customHeight="1" s="121">
      <c r="A53" s="152" t="n">
        <v>18</v>
      </c>
      <c r="B53" s="153">
        <f>CEILING(A53/$B$15,1)</f>
        <v/>
      </c>
      <c r="C53" s="173" t="inlineStr">
        <is>
          <t>Common</t>
        </is>
      </c>
      <c r="D53" s="153">
        <f>$B$6*(1+$B$7)^(A53-1)</f>
        <v/>
      </c>
      <c r="E53" s="153">
        <f>$B$10*(1+$B$11)^(A53-1)</f>
        <v/>
      </c>
      <c r="F53" s="174">
        <f>'Player Stats Curve'!$C$33</f>
        <v/>
      </c>
      <c r="G53" s="153">
        <f>IF(F53=0,"—",CEILING(D53/F53,1))</f>
        <v/>
      </c>
      <c r="H53" s="154">
        <f>D53/$D$19</f>
        <v/>
      </c>
      <c r="I53" s="173" t="n"/>
      <c r="J53" s="156" t="n"/>
      <c r="K53" s="155" t="n"/>
    </row>
    <row r="54" ht="15" customHeight="1" s="121">
      <c r="A54" s="152" t="n">
        <v>18</v>
      </c>
      <c r="B54" s="153">
        <f>CEILING(A54/$B$15,1)</f>
        <v/>
      </c>
      <c r="C54" s="173" t="inlineStr">
        <is>
          <t>Elite</t>
        </is>
      </c>
      <c r="D54" s="153">
        <f>$B$6*(1+$B$7)^(A54-1)*$B$8</f>
        <v/>
      </c>
      <c r="E54" s="153">
        <f>$B$10*(1+$B$11)^(A54-1)*$B$12</f>
        <v/>
      </c>
      <c r="F54" s="174">
        <f>'Player Stats Curve'!$C$33</f>
        <v/>
      </c>
      <c r="G54" s="153">
        <f>IF(F54=0,"—",CEILING(D54/F54,1))</f>
        <v/>
      </c>
      <c r="H54" s="154">
        <f>D54/$D$19</f>
        <v/>
      </c>
      <c r="I54" s="173" t="n"/>
      <c r="J54" s="156" t="n"/>
      <c r="K54" s="155" t="n"/>
    </row>
    <row r="55" ht="15" customHeight="1" s="121">
      <c r="A55" s="148" t="n">
        <v>19</v>
      </c>
      <c r="B55" s="149">
        <f>CEILING(A55/$B$15,1)</f>
        <v/>
      </c>
      <c r="C55" s="172" t="inlineStr">
        <is>
          <t>Common</t>
        </is>
      </c>
      <c r="D55" s="149">
        <f>$B$6*(1+$B$7)^(A55-1)</f>
        <v/>
      </c>
      <c r="E55" s="149">
        <f>$B$10*(1+$B$11)^(A55-1)</f>
        <v/>
      </c>
      <c r="F55" s="146">
        <f>'Player Stats Curve'!$C$34</f>
        <v/>
      </c>
      <c r="G55" s="149">
        <f>IF(F55=0,"—",CEILING(D55/F55,1))</f>
        <v/>
      </c>
      <c r="H55" s="150">
        <f>D55/$D$19</f>
        <v/>
      </c>
      <c r="I55" s="172" t="n"/>
      <c r="K55" s="151" t="n"/>
    </row>
    <row r="56" ht="15" customHeight="1" s="121">
      <c r="A56" s="148" t="n">
        <v>19</v>
      </c>
      <c r="B56" s="149">
        <f>CEILING(A56/$B$15,1)</f>
        <v/>
      </c>
      <c r="C56" s="172" t="inlineStr">
        <is>
          <t>Elite</t>
        </is>
      </c>
      <c r="D56" s="149">
        <f>$B$6*(1+$B$7)^(A56-1)*$B$8</f>
        <v/>
      </c>
      <c r="E56" s="149">
        <f>$B$10*(1+$B$11)^(A56-1)*$B$12</f>
        <v/>
      </c>
      <c r="F56" s="146">
        <f>'Player Stats Curve'!$C$34</f>
        <v/>
      </c>
      <c r="G56" s="149">
        <f>IF(F56=0,"—",CEILING(D56/F56,1))</f>
        <v/>
      </c>
      <c r="H56" s="150">
        <f>D56/$D$19</f>
        <v/>
      </c>
      <c r="I56" s="172" t="n"/>
      <c r="K56" s="151" t="n"/>
    </row>
    <row r="57" ht="15" customHeight="1" s="121">
      <c r="A57" s="152" t="n">
        <v>20</v>
      </c>
      <c r="B57" s="153">
        <f>CEILING(A57/$B$15,1)</f>
        <v/>
      </c>
      <c r="C57" s="173" t="inlineStr">
        <is>
          <t>Common</t>
        </is>
      </c>
      <c r="D57" s="153">
        <f>$B$6*(1+$B$7)^(A57-1)</f>
        <v/>
      </c>
      <c r="E57" s="153">
        <f>$B$10*(1+$B$11)^(A57-1)</f>
        <v/>
      </c>
      <c r="F57" s="174">
        <f>'Player Stats Curve'!$C$35</f>
        <v/>
      </c>
      <c r="G57" s="153">
        <f>IF(F57=0,"—",CEILING(D57/F57,1))</f>
        <v/>
      </c>
      <c r="H57" s="154">
        <f>D57/$D$19</f>
        <v/>
      </c>
      <c r="I57" s="173" t="n"/>
      <c r="J57" s="156" t="n"/>
      <c r="K57" s="155" t="n"/>
    </row>
    <row r="58" ht="15" customHeight="1" s="121">
      <c r="A58" s="152" t="n">
        <v>20</v>
      </c>
      <c r="B58" s="153">
        <f>CEILING(A58/$B$15,1)</f>
        <v/>
      </c>
      <c r="C58" s="173" t="inlineStr">
        <is>
          <t>Boss</t>
        </is>
      </c>
      <c r="D58" s="153">
        <f>$B$6*(1+$B$7)^(A58-1)*$B$9</f>
        <v/>
      </c>
      <c r="E58" s="153">
        <f>$B$10*(1+$B$11)^(A58-1)*$B$13</f>
        <v/>
      </c>
      <c r="F58" s="174">
        <f>'Player Stats Curve'!$C$35</f>
        <v/>
      </c>
      <c r="G58" s="153">
        <f>IF(F58=0,"—",CEILING(D58/F58,1))</f>
        <v/>
      </c>
      <c r="H58" s="154">
        <f>D58/$D$19</f>
        <v/>
      </c>
      <c r="I58" s="173" t="inlineStr">
        <is>
          <t>Yes</t>
        </is>
      </c>
      <c r="J58" s="156" t="n"/>
      <c r="K58" s="155" t="inlineStr">
        <is>
          <t>Zone 4 boss</t>
        </is>
      </c>
    </row>
    <row r="59" ht="15" customHeight="1" s="121">
      <c r="A59" s="148" t="n"/>
      <c r="B59" s="149" t="n"/>
      <c r="C59" s="172" t="n"/>
      <c r="D59" s="149" t="n"/>
      <c r="E59" s="149" t="n"/>
      <c r="F59" s="146" t="n"/>
      <c r="G59" s="149" t="n"/>
      <c r="H59" s="150" t="n"/>
      <c r="I59" s="172" t="n"/>
      <c r="K59" s="151" t="n"/>
    </row>
    <row r="60" ht="15" customHeight="1" s="121">
      <c r="A60" s="148" t="n"/>
      <c r="B60" s="149" t="n"/>
      <c r="C60" s="172" t="n"/>
      <c r="D60" s="149" t="n"/>
      <c r="E60" s="149" t="n"/>
      <c r="F60" s="146" t="n"/>
      <c r="G60" s="149" t="n"/>
      <c r="H60" s="150" t="n"/>
      <c r="I60" s="172" t="n"/>
      <c r="K60" s="151" t="n"/>
    </row>
    <row r="61" ht="15" customHeight="1" s="121">
      <c r="A61" s="152" t="n"/>
      <c r="B61" s="153" t="n"/>
      <c r="C61" s="173" t="n"/>
      <c r="D61" s="153" t="n"/>
      <c r="E61" s="153" t="n"/>
      <c r="F61" s="174" t="n"/>
      <c r="G61" s="153" t="n"/>
      <c r="H61" s="154" t="n"/>
      <c r="I61" s="173" t="n"/>
      <c r="J61" s="156" t="n"/>
      <c r="K61" s="155" t="n"/>
    </row>
    <row r="62" ht="15" customHeight="1" s="121">
      <c r="A62" s="152" t="n"/>
      <c r="B62" s="153" t="n"/>
      <c r="C62" s="173" t="n"/>
      <c r="D62" s="153" t="n"/>
      <c r="E62" s="153" t="n"/>
      <c r="F62" s="174" t="n"/>
      <c r="G62" s="153" t="n"/>
      <c r="H62" s="154" t="n"/>
      <c r="I62" s="173" t="n"/>
      <c r="J62" s="156" t="n"/>
      <c r="K62" s="155" t="n"/>
    </row>
    <row r="63" ht="15" customHeight="1" s="121">
      <c r="A63" s="148" t="n"/>
      <c r="B63" s="149" t="n"/>
      <c r="C63" s="172" t="n"/>
      <c r="D63" s="149" t="n"/>
      <c r="E63" s="149" t="n"/>
      <c r="F63" s="146" t="n"/>
      <c r="G63" s="149" t="n"/>
      <c r="H63" s="150" t="n"/>
      <c r="I63" s="172" t="n"/>
      <c r="K63" s="151" t="n"/>
    </row>
    <row r="64" ht="15" customHeight="1" s="121">
      <c r="A64" s="148" t="n"/>
      <c r="B64" s="149" t="n"/>
      <c r="C64" s="172" t="n"/>
      <c r="D64" s="149" t="n"/>
      <c r="E64" s="149" t="n"/>
      <c r="F64" s="146" t="n"/>
      <c r="G64" s="149" t="n"/>
      <c r="H64" s="150" t="n"/>
      <c r="I64" s="172" t="n"/>
      <c r="K64" s="151" t="n"/>
    </row>
    <row r="65" ht="15" customHeight="1" s="121">
      <c r="A65" s="152" t="n"/>
      <c r="B65" s="153" t="n"/>
      <c r="C65" s="173" t="n"/>
      <c r="D65" s="153" t="n"/>
      <c r="E65" s="153" t="n"/>
      <c r="F65" s="174" t="n"/>
      <c r="G65" s="153" t="n"/>
      <c r="H65" s="154" t="n"/>
      <c r="I65" s="173" t="n"/>
      <c r="J65" s="156" t="n"/>
      <c r="K65" s="155" t="n"/>
    </row>
    <row r="66" ht="15" customHeight="1" s="121">
      <c r="A66" s="152" t="n"/>
      <c r="B66" s="153" t="n"/>
      <c r="C66" s="173" t="n"/>
      <c r="D66" s="153" t="n"/>
      <c r="E66" s="153" t="n"/>
      <c r="F66" s="174" t="n"/>
      <c r="G66" s="153" t="n"/>
      <c r="H66" s="154" t="n"/>
      <c r="I66" s="173" t="n"/>
      <c r="J66" s="156" t="n"/>
      <c r="K66" s="155" t="n"/>
    </row>
    <row r="67" ht="15" customHeight="1" s="121">
      <c r="A67" s="148" t="n"/>
      <c r="B67" s="149" t="n"/>
      <c r="C67" s="172" t="n"/>
      <c r="D67" s="149" t="n"/>
      <c r="E67" s="149" t="n"/>
      <c r="F67" s="146" t="n"/>
      <c r="G67" s="149" t="n"/>
      <c r="H67" s="150" t="n"/>
      <c r="I67" s="172" t="n"/>
      <c r="K67" s="151" t="n"/>
    </row>
    <row r="68" ht="15" customHeight="1" s="121">
      <c r="A68" s="148" t="n"/>
      <c r="B68" s="149" t="n"/>
      <c r="C68" s="172" t="n"/>
      <c r="D68" s="149" t="n"/>
      <c r="E68" s="149" t="n"/>
      <c r="F68" s="146" t="n"/>
      <c r="G68" s="149" t="n"/>
      <c r="H68" s="150" t="n"/>
      <c r="I68" s="172" t="n"/>
      <c r="K68" s="151" t="n"/>
    </row>
    <row r="69" ht="15" customHeight="1" s="121">
      <c r="A69" s="152" t="n"/>
      <c r="B69" s="153" t="n"/>
      <c r="C69" s="173" t="n"/>
      <c r="D69" s="153" t="n"/>
      <c r="E69" s="153" t="n"/>
      <c r="F69" s="174" t="n"/>
      <c r="G69" s="153" t="n"/>
      <c r="H69" s="154" t="n"/>
      <c r="I69" s="173" t="n"/>
      <c r="J69" s="156" t="n"/>
      <c r="K69" s="155" t="n"/>
    </row>
    <row r="70" ht="15" customHeight="1" s="121">
      <c r="A70" s="152" t="n"/>
      <c r="B70" s="153" t="n"/>
      <c r="C70" s="173" t="n"/>
      <c r="D70" s="153" t="n"/>
      <c r="E70" s="153" t="n"/>
      <c r="F70" s="174" t="n"/>
      <c r="G70" s="153" t="n"/>
      <c r="H70" s="154" t="n"/>
      <c r="I70" s="173" t="n"/>
      <c r="J70" s="156" t="n"/>
      <c r="K70" s="155" t="n"/>
    </row>
    <row r="71" ht="15" customHeight="1" s="121">
      <c r="A71" s="148" t="n"/>
      <c r="B71" s="149" t="n"/>
      <c r="C71" s="172" t="n"/>
      <c r="D71" s="149" t="n"/>
      <c r="E71" s="149" t="n"/>
      <c r="F71" s="146" t="n"/>
      <c r="G71" s="149" t="n"/>
      <c r="H71" s="150" t="n"/>
      <c r="I71" s="172" t="n"/>
      <c r="K71" s="151" t="n"/>
    </row>
    <row r="72" ht="15" customHeight="1" s="121">
      <c r="A72" s="148" t="n"/>
      <c r="B72" s="149" t="n"/>
      <c r="C72" s="172" t="n"/>
      <c r="D72" s="149" t="n"/>
      <c r="E72" s="149" t="n"/>
      <c r="F72" s="146" t="n"/>
      <c r="G72" s="149" t="n"/>
      <c r="H72" s="150" t="n"/>
      <c r="I72" s="172" t="n"/>
      <c r="K72" s="151" t="n"/>
    </row>
    <row r="73" ht="15" customHeight="1" s="121">
      <c r="A73" s="152" t="n"/>
      <c r="B73" s="153" t="n"/>
      <c r="C73" s="173" t="n"/>
      <c r="D73" s="153" t="n"/>
      <c r="E73" s="153" t="n"/>
      <c r="F73" s="174" t="n"/>
      <c r="G73" s="153" t="n"/>
      <c r="H73" s="154" t="n"/>
      <c r="I73" s="173" t="n"/>
      <c r="J73" s="156" t="n"/>
      <c r="K73" s="155" t="n"/>
    </row>
    <row r="74" ht="15" customHeight="1" s="121">
      <c r="A74" s="152" t="n"/>
      <c r="B74" s="153" t="n"/>
      <c r="C74" s="173" t="n"/>
      <c r="D74" s="153" t="n"/>
      <c r="E74" s="153" t="n"/>
      <c r="F74" s="174" t="n"/>
      <c r="G74" s="153" t="n"/>
      <c r="H74" s="154" t="n"/>
      <c r="I74" s="173" t="n"/>
      <c r="J74" s="156" t="n"/>
      <c r="K74" s="155" t="n"/>
    </row>
    <row r="75" ht="15" customHeight="1" s="121">
      <c r="A75" s="148" t="n"/>
      <c r="B75" s="149" t="n"/>
      <c r="C75" s="172" t="n"/>
      <c r="D75" s="149" t="n"/>
      <c r="E75" s="149" t="n"/>
      <c r="F75" s="146" t="n"/>
      <c r="G75" s="149" t="n"/>
      <c r="H75" s="150" t="n"/>
      <c r="I75" s="172" t="n"/>
      <c r="K75" s="151" t="n"/>
    </row>
    <row r="76" ht="15" customHeight="1" s="121">
      <c r="A76" s="148" t="n"/>
      <c r="B76" s="149" t="n"/>
      <c r="C76" s="172" t="n"/>
      <c r="D76" s="149" t="n"/>
      <c r="E76" s="149" t="n"/>
      <c r="F76" s="146" t="n"/>
      <c r="G76" s="149" t="n"/>
      <c r="H76" s="150" t="n"/>
      <c r="I76" s="172" t="n"/>
      <c r="K76" s="151" t="n"/>
    </row>
    <row r="77" ht="15" customHeight="1" s="121">
      <c r="A77" s="152" t="n"/>
      <c r="B77" s="153" t="n"/>
      <c r="C77" s="173" t="n"/>
      <c r="D77" s="153" t="n"/>
      <c r="E77" s="153" t="n"/>
      <c r="F77" s="174" t="n"/>
      <c r="G77" s="153" t="n"/>
      <c r="H77" s="154" t="n"/>
      <c r="I77" s="173" t="n"/>
      <c r="J77" s="156" t="n"/>
      <c r="K77" s="155" t="n"/>
    </row>
    <row r="78" ht="15" customHeight="1" s="121">
      <c r="A78" s="152" t="n"/>
      <c r="B78" s="153" t="n"/>
      <c r="C78" s="173" t="n"/>
      <c r="D78" s="153" t="n"/>
      <c r="E78" s="153" t="n"/>
      <c r="F78" s="174" t="n"/>
      <c r="G78" s="153" t="n"/>
      <c r="H78" s="154" t="n"/>
      <c r="I78" s="173" t="n"/>
      <c r="J78" s="156" t="n"/>
      <c r="K78" s="155" t="n"/>
    </row>
    <row r="79" ht="21.75" customHeight="1" s="121">
      <c r="A79" s="129" t="inlineStr">
        <is>
          <t>SUMMARY</t>
        </is>
      </c>
    </row>
    <row r="80" ht="15" customHeight="1" s="121">
      <c r="A80" s="145" t="inlineStr">
        <is>
          <t>Average turns-to-kill (all tiers, all floors)</t>
        </is>
      </c>
      <c r="F80" s="175">
        <f>AVERAGE(G19:G58)</f>
        <v/>
      </c>
    </row>
    <row r="81" ht="15" customHeight="1" s="121">
      <c r="A81" s="145" t="inlineStr">
        <is>
          <t>Max turns-to-kill (peak difficulty)</t>
        </is>
      </c>
      <c r="F81" s="176">
        <f>MAX(G19:G58)</f>
        <v/>
      </c>
    </row>
  </sheetData>
  <mergeCells count="7">
    <mergeCell ref="A4:K4"/>
    <mergeCell ref="A81:E81"/>
    <mergeCell ref="A2:K2"/>
    <mergeCell ref="A80:E80"/>
    <mergeCell ref="A1:K1"/>
    <mergeCell ref="A17:K17"/>
    <mergeCell ref="A79:K7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J52"/>
  <sheetViews>
    <sheetView showFormulas="0" showGridLines="0" showRowColHeaders="1" showZeros="1" rightToLeft="0" tabSelected="0" showOutlineSymbols="1" defaultGridColor="1"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20" min="1" max="1"/>
    <col width="10" customWidth="1" style="120" min="2" max="2"/>
    <col width="14" customWidth="1" style="120" min="3" max="9"/>
    <col width="36" customWidth="1" style="120" min="10" max="10"/>
  </cols>
  <sheetData>
    <row r="1" ht="19.5" customHeight="1" s="121">
      <c r="A1" s="122" t="inlineStr">
        <is>
          <t>CURRENCIES</t>
        </is>
      </c>
    </row>
    <row r="2" ht="15" customHeight="1" s="121">
      <c r="A2" s="123" t="inlineStr">
        <is>
          <t>VEIN Crystal earned per floor (from drops + clear bonus) and Shard Crystal accrued per run. Drives the IAP expected-value math in batch 3.</t>
        </is>
      </c>
    </row>
    <row r="4" ht="21.75" customHeight="1" s="121">
      <c r="A4" s="129" t="inlineStr">
        <is>
          <t>DRIVER INPUTS (mirrored from Assumptions — green text)</t>
        </is>
      </c>
    </row>
    <row r="5" ht="15" customHeight="1" s="121">
      <c r="A5" s="128" t="inlineStr">
        <is>
          <t>Driver</t>
        </is>
      </c>
      <c r="B5" s="128" t="inlineStr">
        <is>
          <t>Value</t>
        </is>
      </c>
    </row>
    <row r="6" ht="15" customHeight="1" s="121">
      <c r="A6" s="145" t="inlineStr">
        <is>
          <t>vein_common_amount</t>
        </is>
      </c>
      <c r="B6" s="146">
        <f>Assumptions!$C$44</f>
        <v/>
      </c>
    </row>
    <row r="7" ht="15" customHeight="1" s="121">
      <c r="A7" s="145" t="inlineStr">
        <is>
          <t>vein_elite_amount</t>
        </is>
      </c>
      <c r="B7" s="146">
        <f>Assumptions!$C$45</f>
        <v/>
      </c>
    </row>
    <row r="8" ht="15" customHeight="1" s="121">
      <c r="A8" s="145" t="inlineStr">
        <is>
          <t>vein_boss_amount</t>
        </is>
      </c>
      <c r="B8" s="146">
        <f>Assumptions!$C$46</f>
        <v/>
      </c>
    </row>
    <row r="9" ht="15" customHeight="1" s="121">
      <c r="A9" s="145" t="inlineStr">
        <is>
          <t>sig_common_amount</t>
        </is>
      </c>
      <c r="B9" s="146">
        <f>Assumptions!$C$47</f>
        <v/>
      </c>
    </row>
    <row r="10" ht="15" customHeight="1" s="121">
      <c r="A10" s="145" t="inlineStr">
        <is>
          <t>sig_elite_amount</t>
        </is>
      </c>
      <c r="B10" s="146">
        <f>Assumptions!$C$48</f>
        <v/>
      </c>
    </row>
    <row r="11" ht="15" customHeight="1" s="121">
      <c r="A11" s="145" t="inlineStr">
        <is>
          <t>sig_boss_amount</t>
        </is>
      </c>
      <c r="B11" s="146">
        <f>Assumptions!$C$49</f>
        <v/>
      </c>
    </row>
    <row r="12" ht="15" customHeight="1" s="121">
      <c r="A12" s="145" t="inlineStr">
        <is>
          <t>vein_per_floor_clear_bonus</t>
        </is>
      </c>
      <c r="B12" s="146">
        <f>Assumptions!$C$58</f>
        <v/>
      </c>
    </row>
    <row r="13" ht="15" customHeight="1" s="121">
      <c r="A13" s="145" t="inlineStr">
        <is>
          <t>shard_per_vein_conversion</t>
        </is>
      </c>
      <c r="B13" s="147">
        <f>Assumptions!$C$57</f>
        <v/>
      </c>
    </row>
    <row r="14" ht="15" customHeight="1" s="121">
      <c r="A14" s="145" t="inlineStr">
        <is>
          <t>boss_every_n_floors</t>
        </is>
      </c>
      <c r="B14" s="146">
        <f>Assumptions!$C$53</f>
        <v/>
      </c>
    </row>
    <row r="15" ht="15" customHeight="1" s="121">
      <c r="A15" s="145" t="inlineStr">
        <is>
          <t>max_floor</t>
        </is>
      </c>
      <c r="B15" s="146">
        <f>Assumptions!$C$6</f>
        <v/>
      </c>
    </row>
    <row r="17" ht="21.75" customHeight="1" s="121">
      <c r="A17" s="129" t="inlineStr">
        <is>
          <t>PER-FLOOR INCOME</t>
        </is>
      </c>
    </row>
    <row r="18" ht="27.75" customHeight="1" s="121">
      <c r="A18" s="128" t="inlineStr">
        <is>
          <t>Floor</t>
        </is>
      </c>
      <c r="B18" s="128" t="inlineStr">
        <is>
          <t>Boss?</t>
        </is>
      </c>
      <c r="C18" s="128" t="inlineStr">
        <is>
          <t>Commons</t>
        </is>
      </c>
      <c r="D18" s="128" t="inlineStr">
        <is>
          <t>Elites</t>
        </is>
      </c>
      <c r="E18" s="128" t="inlineStr">
        <is>
          <t>VEIN earned</t>
        </is>
      </c>
      <c r="F18" s="128" t="inlineStr">
        <is>
          <t>SIG earned</t>
        </is>
      </c>
      <c r="G18" s="128" t="inlineStr">
        <is>
          <t>Cum. VEIN</t>
        </is>
      </c>
      <c r="H18" s="128" t="inlineStr">
        <is>
          <t>Cum. SIG</t>
        </is>
      </c>
      <c r="I18" s="128" t="inlineStr">
        <is>
          <t>Cum. Shards</t>
        </is>
      </c>
      <c r="J18" s="128" t="inlineStr">
        <is>
          <t>Notes</t>
        </is>
      </c>
    </row>
    <row r="19" ht="15" customHeight="1" s="121">
      <c r="A19" s="148" t="n">
        <v>1</v>
      </c>
      <c r="B19" s="172" t="n"/>
      <c r="C19" s="163">
        <f>'Drop Rates'!$C$19</f>
        <v/>
      </c>
      <c r="D19" s="163">
        <f>'Drop Rates'!$D$19</f>
        <v/>
      </c>
      <c r="E19" s="149">
        <f>C19*$B$6+D19*$B$7+IF(MOD(A19,$B$14)=0,1,0)*$B$8+$B$12</f>
        <v/>
      </c>
      <c r="F19" s="163">
        <f>C19*Assumptions!$C$35*$B$9+D19*Assumptions!$C$37*$B$10+IF(MOD(A19,$B$14)=0,1,0)*$B$11</f>
        <v/>
      </c>
      <c r="G19" s="149">
        <f>E19</f>
        <v/>
      </c>
      <c r="H19" s="164">
        <f>F19</f>
        <v/>
      </c>
      <c r="I19" s="164">
        <f>G19*$B$13</f>
        <v/>
      </c>
      <c r="J19" s="151" t="n"/>
    </row>
    <row r="20" ht="15" customHeight="1" s="121">
      <c r="A20" s="152" t="n">
        <v>2</v>
      </c>
      <c r="B20" s="173" t="n"/>
      <c r="C20" s="177">
        <f>'Drop Rates'!$C$20</f>
        <v/>
      </c>
      <c r="D20" s="177">
        <f>'Drop Rates'!$D$20</f>
        <v/>
      </c>
      <c r="E20" s="153">
        <f>C20*$B$6+D20*$B$7+IF(MOD(A20,$B$14)=0,1,0)*$B$8+$B$12</f>
        <v/>
      </c>
      <c r="F20" s="177">
        <f>C20*Assumptions!$C$35*$B$9+D20*Assumptions!$C$37*$B$10+IF(MOD(A20,$B$14)=0,1,0)*$B$11</f>
        <v/>
      </c>
      <c r="G20" s="153">
        <f>G19+E20</f>
        <v/>
      </c>
      <c r="H20" s="166">
        <f>H19+F20</f>
        <v/>
      </c>
      <c r="I20" s="166">
        <f>G20*$B$13</f>
        <v/>
      </c>
      <c r="J20" s="155" t="n"/>
    </row>
    <row r="21" ht="15" customHeight="1" s="121">
      <c r="A21" s="148" t="n">
        <v>3</v>
      </c>
      <c r="B21" s="172" t="n"/>
      <c r="C21" s="163">
        <f>'Drop Rates'!$C$21</f>
        <v/>
      </c>
      <c r="D21" s="163">
        <f>'Drop Rates'!$D$21</f>
        <v/>
      </c>
      <c r="E21" s="149">
        <f>C21*$B$6+D21*$B$7+IF(MOD(A21,$B$14)=0,1,0)*$B$8+$B$12</f>
        <v/>
      </c>
      <c r="F21" s="163">
        <f>C21*Assumptions!$C$35*$B$9+D21*Assumptions!$C$37*$B$10+IF(MOD(A21,$B$14)=0,1,0)*$B$11</f>
        <v/>
      </c>
      <c r="G21" s="149">
        <f>G20+E21</f>
        <v/>
      </c>
      <c r="H21" s="164">
        <f>H20+F21</f>
        <v/>
      </c>
      <c r="I21" s="164">
        <f>G21*$B$13</f>
        <v/>
      </c>
      <c r="J21" s="151" t="n"/>
    </row>
    <row r="22" ht="15" customHeight="1" s="121">
      <c r="A22" s="152" t="n">
        <v>4</v>
      </c>
      <c r="B22" s="173" t="n"/>
      <c r="C22" s="177">
        <f>'Drop Rates'!$C$22</f>
        <v/>
      </c>
      <c r="D22" s="177">
        <f>'Drop Rates'!$D$22</f>
        <v/>
      </c>
      <c r="E22" s="153">
        <f>C22*$B$6+D22*$B$7+IF(MOD(A22,$B$14)=0,1,0)*$B$8+$B$12</f>
        <v/>
      </c>
      <c r="F22" s="177">
        <f>C22*Assumptions!$C$35*$B$9+D22*Assumptions!$C$37*$B$10+IF(MOD(A22,$B$14)=0,1,0)*$B$11</f>
        <v/>
      </c>
      <c r="G22" s="153">
        <f>G21+E22</f>
        <v/>
      </c>
      <c r="H22" s="166">
        <f>H21+F22</f>
        <v/>
      </c>
      <c r="I22" s="166">
        <f>G22*$B$13</f>
        <v/>
      </c>
      <c r="J22" s="155" t="n"/>
    </row>
    <row r="23" ht="15" customHeight="1" s="121">
      <c r="A23" s="148" t="n">
        <v>5</v>
      </c>
      <c r="B23" s="172" t="inlineStr">
        <is>
          <t>Yes</t>
        </is>
      </c>
      <c r="C23" s="163">
        <f>'Drop Rates'!$C$23</f>
        <v/>
      </c>
      <c r="D23" s="163">
        <f>'Drop Rates'!$D$23</f>
        <v/>
      </c>
      <c r="E23" s="149">
        <f>C23*$B$6+D23*$B$7+IF(MOD(A23,$B$14)=0,1,0)*$B$8+$B$12</f>
        <v/>
      </c>
      <c r="F23" s="163">
        <f>C23*Assumptions!$C$35*$B$9+D23*Assumptions!$C$37*$B$10+IF(MOD(A23,$B$14)=0,1,0)*$B$11</f>
        <v/>
      </c>
      <c r="G23" s="149">
        <f>G22+E23</f>
        <v/>
      </c>
      <c r="H23" s="164">
        <f>H22+F23</f>
        <v/>
      </c>
      <c r="I23" s="164">
        <f>G23*$B$13</f>
        <v/>
      </c>
      <c r="J23" s="151" t="inlineStr">
        <is>
          <t>Zone 1 boss — big VEIN/SIG payout</t>
        </is>
      </c>
    </row>
    <row r="24" ht="15" customHeight="1" s="121">
      <c r="A24" s="152" t="n">
        <v>6</v>
      </c>
      <c r="B24" s="173" t="n"/>
      <c r="C24" s="177">
        <f>'Drop Rates'!$C$24</f>
        <v/>
      </c>
      <c r="D24" s="177">
        <f>'Drop Rates'!$D$24</f>
        <v/>
      </c>
      <c r="E24" s="153">
        <f>C24*$B$6+D24*$B$7+IF(MOD(A24,$B$14)=0,1,0)*$B$8+$B$12</f>
        <v/>
      </c>
      <c r="F24" s="177">
        <f>C24*Assumptions!$C$35*$B$9+D24*Assumptions!$C$37*$B$10+IF(MOD(A24,$B$14)=0,1,0)*$B$11</f>
        <v/>
      </c>
      <c r="G24" s="153">
        <f>G23+E24</f>
        <v/>
      </c>
      <c r="H24" s="166">
        <f>H23+F24</f>
        <v/>
      </c>
      <c r="I24" s="166">
        <f>G24*$B$13</f>
        <v/>
      </c>
      <c r="J24" s="155" t="n"/>
    </row>
    <row r="25" ht="15" customHeight="1" s="121">
      <c r="A25" s="148" t="n">
        <v>7</v>
      </c>
      <c r="B25" s="172" t="n"/>
      <c r="C25" s="163">
        <f>'Drop Rates'!$C$25</f>
        <v/>
      </c>
      <c r="D25" s="163">
        <f>'Drop Rates'!$D$25</f>
        <v/>
      </c>
      <c r="E25" s="149">
        <f>C25*$B$6+D25*$B$7+IF(MOD(A25,$B$14)=0,1,0)*$B$8+$B$12</f>
        <v/>
      </c>
      <c r="F25" s="163">
        <f>C25*Assumptions!$C$35*$B$9+D25*Assumptions!$C$37*$B$10+IF(MOD(A25,$B$14)=0,1,0)*$B$11</f>
        <v/>
      </c>
      <c r="G25" s="149">
        <f>G24+E25</f>
        <v/>
      </c>
      <c r="H25" s="164">
        <f>H24+F25</f>
        <v/>
      </c>
      <c r="I25" s="164">
        <f>G25*$B$13</f>
        <v/>
      </c>
      <c r="J25" s="151" t="n"/>
    </row>
    <row r="26" ht="15" customHeight="1" s="121">
      <c r="A26" s="152" t="n">
        <v>8</v>
      </c>
      <c r="B26" s="173" t="n"/>
      <c r="C26" s="177">
        <f>'Drop Rates'!$C$26</f>
        <v/>
      </c>
      <c r="D26" s="177">
        <f>'Drop Rates'!$D$26</f>
        <v/>
      </c>
      <c r="E26" s="153">
        <f>C26*$B$6+D26*$B$7+IF(MOD(A26,$B$14)=0,1,0)*$B$8+$B$12</f>
        <v/>
      </c>
      <c r="F26" s="177">
        <f>C26*Assumptions!$C$35*$B$9+D26*Assumptions!$C$37*$B$10+IF(MOD(A26,$B$14)=0,1,0)*$B$11</f>
        <v/>
      </c>
      <c r="G26" s="153">
        <f>G25+E26</f>
        <v/>
      </c>
      <c r="H26" s="166">
        <f>H25+F26</f>
        <v/>
      </c>
      <c r="I26" s="166">
        <f>G26*$B$13</f>
        <v/>
      </c>
      <c r="J26" s="155" t="n"/>
    </row>
    <row r="27" ht="15" customHeight="1" s="121">
      <c r="A27" s="148" t="n">
        <v>9</v>
      </c>
      <c r="B27" s="172" t="n"/>
      <c r="C27" s="163">
        <f>'Drop Rates'!$C$27</f>
        <v/>
      </c>
      <c r="D27" s="163">
        <f>'Drop Rates'!$D$27</f>
        <v/>
      </c>
      <c r="E27" s="149">
        <f>C27*$B$6+D27*$B$7+IF(MOD(A27,$B$14)=0,1,0)*$B$8+$B$12</f>
        <v/>
      </c>
      <c r="F27" s="163">
        <f>C27*Assumptions!$C$35*$B$9+D27*Assumptions!$C$37*$B$10+IF(MOD(A27,$B$14)=0,1,0)*$B$11</f>
        <v/>
      </c>
      <c r="G27" s="149">
        <f>G26+E27</f>
        <v/>
      </c>
      <c r="H27" s="164">
        <f>H26+F27</f>
        <v/>
      </c>
      <c r="I27" s="164">
        <f>G27*$B$13</f>
        <v/>
      </c>
      <c r="J27" s="151" t="n"/>
    </row>
    <row r="28" ht="15" customHeight="1" s="121">
      <c r="A28" s="152" t="n">
        <v>10</v>
      </c>
      <c r="B28" s="173" t="inlineStr">
        <is>
          <t>Yes</t>
        </is>
      </c>
      <c r="C28" s="177">
        <f>'Drop Rates'!$C$28</f>
        <v/>
      </c>
      <c r="D28" s="177">
        <f>'Drop Rates'!$D$28</f>
        <v/>
      </c>
      <c r="E28" s="153">
        <f>C28*$B$6+D28*$B$7+IF(MOD(A28,$B$14)=0,1,0)*$B$8+$B$12</f>
        <v/>
      </c>
      <c r="F28" s="177">
        <f>C28*Assumptions!$C$35*$B$9+D28*Assumptions!$C$37*$B$10+IF(MOD(A28,$B$14)=0,1,0)*$B$11</f>
        <v/>
      </c>
      <c r="G28" s="153">
        <f>G27+E28</f>
        <v/>
      </c>
      <c r="H28" s="166">
        <f>H27+F28</f>
        <v/>
      </c>
      <c r="I28" s="166">
        <f>G28*$B$13</f>
        <v/>
      </c>
      <c r="J28" s="155" t="inlineStr">
        <is>
          <t>Zone 2 boss — big VEIN/SIG payout</t>
        </is>
      </c>
    </row>
    <row r="29" ht="15" customHeight="1" s="121">
      <c r="A29" s="148" t="n">
        <v>11</v>
      </c>
      <c r="B29" s="172" t="n"/>
      <c r="C29" s="163">
        <f>'Drop Rates'!$C$29</f>
        <v/>
      </c>
      <c r="D29" s="163">
        <f>'Drop Rates'!$D$29</f>
        <v/>
      </c>
      <c r="E29" s="149">
        <f>C29*$B$6+D29*$B$7+IF(MOD(A29,$B$14)=0,1,0)*$B$8+$B$12</f>
        <v/>
      </c>
      <c r="F29" s="163">
        <f>C29*Assumptions!$C$35*$B$9+D29*Assumptions!$C$37*$B$10+IF(MOD(A29,$B$14)=0,1,0)*$B$11</f>
        <v/>
      </c>
      <c r="G29" s="149">
        <f>G28+E29</f>
        <v/>
      </c>
      <c r="H29" s="164">
        <f>H28+F29</f>
        <v/>
      </c>
      <c r="I29" s="164">
        <f>G29*$B$13</f>
        <v/>
      </c>
      <c r="J29" s="151" t="n"/>
    </row>
    <row r="30" ht="15" customHeight="1" s="121">
      <c r="A30" s="152" t="n">
        <v>12</v>
      </c>
      <c r="B30" s="173" t="n"/>
      <c r="C30" s="177">
        <f>'Drop Rates'!$C$30</f>
        <v/>
      </c>
      <c r="D30" s="177">
        <f>'Drop Rates'!$D$30</f>
        <v/>
      </c>
      <c r="E30" s="153">
        <f>C30*$B$6+D30*$B$7+IF(MOD(A30,$B$14)=0,1,0)*$B$8+$B$12</f>
        <v/>
      </c>
      <c r="F30" s="177">
        <f>C30*Assumptions!$C$35*$B$9+D30*Assumptions!$C$37*$B$10+IF(MOD(A30,$B$14)=0,1,0)*$B$11</f>
        <v/>
      </c>
      <c r="G30" s="153">
        <f>G29+E30</f>
        <v/>
      </c>
      <c r="H30" s="166">
        <f>H29+F30</f>
        <v/>
      </c>
      <c r="I30" s="166">
        <f>G30*$B$13</f>
        <v/>
      </c>
      <c r="J30" s="155" t="n"/>
    </row>
    <row r="31" ht="15" customHeight="1" s="121">
      <c r="A31" s="148" t="n">
        <v>13</v>
      </c>
      <c r="B31" s="172" t="n"/>
      <c r="C31" s="163">
        <f>'Drop Rates'!$C$31</f>
        <v/>
      </c>
      <c r="D31" s="163">
        <f>'Drop Rates'!$D$31</f>
        <v/>
      </c>
      <c r="E31" s="149">
        <f>C31*$B$6+D31*$B$7+IF(MOD(A31,$B$14)=0,1,0)*$B$8+$B$12</f>
        <v/>
      </c>
      <c r="F31" s="163">
        <f>C31*Assumptions!$C$35*$B$9+D31*Assumptions!$C$37*$B$10+IF(MOD(A31,$B$14)=0,1,0)*$B$11</f>
        <v/>
      </c>
      <c r="G31" s="149">
        <f>G30+E31</f>
        <v/>
      </c>
      <c r="H31" s="164">
        <f>H30+F31</f>
        <v/>
      </c>
      <c r="I31" s="164">
        <f>G31*$B$13</f>
        <v/>
      </c>
      <c r="J31" s="151" t="n"/>
    </row>
    <row r="32" ht="15" customHeight="1" s="121">
      <c r="A32" s="152" t="n">
        <v>14</v>
      </c>
      <c r="B32" s="173" t="n"/>
      <c r="C32" s="177">
        <f>'Drop Rates'!$C$32</f>
        <v/>
      </c>
      <c r="D32" s="177">
        <f>'Drop Rates'!$D$32</f>
        <v/>
      </c>
      <c r="E32" s="153">
        <f>C32*$B$6+D32*$B$7+IF(MOD(A32,$B$14)=0,1,0)*$B$8+$B$12</f>
        <v/>
      </c>
      <c r="F32" s="177">
        <f>C32*Assumptions!$C$35*$B$9+D32*Assumptions!$C$37*$B$10+IF(MOD(A32,$B$14)=0,1,0)*$B$11</f>
        <v/>
      </c>
      <c r="G32" s="153">
        <f>G31+E32</f>
        <v/>
      </c>
      <c r="H32" s="166">
        <f>H31+F32</f>
        <v/>
      </c>
      <c r="I32" s="166">
        <f>G32*$B$13</f>
        <v/>
      </c>
      <c r="J32" s="155" t="n"/>
    </row>
    <row r="33" ht="15" customHeight="1" s="121">
      <c r="A33" s="148" t="n">
        <v>15</v>
      </c>
      <c r="B33" s="172" t="inlineStr">
        <is>
          <t>Yes</t>
        </is>
      </c>
      <c r="C33" s="163">
        <f>'Drop Rates'!$C$33</f>
        <v/>
      </c>
      <c r="D33" s="163">
        <f>'Drop Rates'!$D$33</f>
        <v/>
      </c>
      <c r="E33" s="149">
        <f>C33*$B$6+D33*$B$7+IF(MOD(A33,$B$14)=0,1,0)*$B$8+$B$12</f>
        <v/>
      </c>
      <c r="F33" s="163">
        <f>C33*Assumptions!$C$35*$B$9+D33*Assumptions!$C$37*$B$10+IF(MOD(A33,$B$14)=0,1,0)*$B$11</f>
        <v/>
      </c>
      <c r="G33" s="149">
        <f>G32+E33</f>
        <v/>
      </c>
      <c r="H33" s="164">
        <f>H32+F33</f>
        <v/>
      </c>
      <c r="I33" s="164">
        <f>G33*$B$13</f>
        <v/>
      </c>
      <c r="J33" s="151" t="inlineStr">
        <is>
          <t>Zone 3 boss — big VEIN/SIG payout</t>
        </is>
      </c>
    </row>
    <row r="34" ht="15" customHeight="1" s="121">
      <c r="A34" s="152" t="n">
        <v>16</v>
      </c>
      <c r="B34" s="173" t="n"/>
      <c r="C34" s="177">
        <f>'Drop Rates'!$C$34</f>
        <v/>
      </c>
      <c r="D34" s="177">
        <f>'Drop Rates'!$D$34</f>
        <v/>
      </c>
      <c r="E34" s="153">
        <f>C34*$B$6+D34*$B$7+IF(MOD(A34,$B$14)=0,1,0)*$B$8+$B$12</f>
        <v/>
      </c>
      <c r="F34" s="177">
        <f>C34*Assumptions!$C$35*$B$9+D34*Assumptions!$C$37*$B$10+IF(MOD(A34,$B$14)=0,1,0)*$B$11</f>
        <v/>
      </c>
      <c r="G34" s="153">
        <f>G33+E34</f>
        <v/>
      </c>
      <c r="H34" s="166">
        <f>H33+F34</f>
        <v/>
      </c>
      <c r="I34" s="166">
        <f>G34*$B$13</f>
        <v/>
      </c>
      <c r="J34" s="155" t="n"/>
    </row>
    <row r="35" ht="15" customHeight="1" s="121">
      <c r="A35" s="148" t="n">
        <v>17</v>
      </c>
      <c r="B35" s="172" t="n"/>
      <c r="C35" s="163">
        <f>'Drop Rates'!$C$35</f>
        <v/>
      </c>
      <c r="D35" s="163">
        <f>'Drop Rates'!$D$35</f>
        <v/>
      </c>
      <c r="E35" s="149">
        <f>C35*$B$6+D35*$B$7+IF(MOD(A35,$B$14)=0,1,0)*$B$8+$B$12</f>
        <v/>
      </c>
      <c r="F35" s="163">
        <f>C35*Assumptions!$C$35*$B$9+D35*Assumptions!$C$37*$B$10+IF(MOD(A35,$B$14)=0,1,0)*$B$11</f>
        <v/>
      </c>
      <c r="G35" s="149">
        <f>G34+E35</f>
        <v/>
      </c>
      <c r="H35" s="164">
        <f>H34+F35</f>
        <v/>
      </c>
      <c r="I35" s="164">
        <f>G35*$B$13</f>
        <v/>
      </c>
      <c r="J35" s="151" t="n"/>
    </row>
    <row r="36" ht="15" customHeight="1" s="121">
      <c r="A36" s="152" t="n">
        <v>18</v>
      </c>
      <c r="B36" s="173" t="n"/>
      <c r="C36" s="177">
        <f>'Drop Rates'!$C$36</f>
        <v/>
      </c>
      <c r="D36" s="177">
        <f>'Drop Rates'!$D$36</f>
        <v/>
      </c>
      <c r="E36" s="153">
        <f>C36*$B$6+D36*$B$7+IF(MOD(A36,$B$14)=0,1,0)*$B$8+$B$12</f>
        <v/>
      </c>
      <c r="F36" s="177">
        <f>C36*Assumptions!$C$35*$B$9+D36*Assumptions!$C$37*$B$10+IF(MOD(A36,$B$14)=0,1,0)*$B$11</f>
        <v/>
      </c>
      <c r="G36" s="153">
        <f>G35+E36</f>
        <v/>
      </c>
      <c r="H36" s="166">
        <f>H35+F36</f>
        <v/>
      </c>
      <c r="I36" s="166">
        <f>G36*$B$13</f>
        <v/>
      </c>
      <c r="J36" s="155" t="n"/>
    </row>
    <row r="37" ht="15" customHeight="1" s="121">
      <c r="A37" s="148" t="n">
        <v>19</v>
      </c>
      <c r="B37" s="172" t="n"/>
      <c r="C37" s="163">
        <f>'Drop Rates'!$C$37</f>
        <v/>
      </c>
      <c r="D37" s="163">
        <f>'Drop Rates'!$D$37</f>
        <v/>
      </c>
      <c r="E37" s="149">
        <f>C37*$B$6+D37*$B$7+IF(MOD(A37,$B$14)=0,1,0)*$B$8+$B$12</f>
        <v/>
      </c>
      <c r="F37" s="163">
        <f>C37*Assumptions!$C$35*$B$9+D37*Assumptions!$C$37*$B$10+IF(MOD(A37,$B$14)=0,1,0)*$B$11</f>
        <v/>
      </c>
      <c r="G37" s="149">
        <f>G36+E37</f>
        <v/>
      </c>
      <c r="H37" s="164">
        <f>H36+F37</f>
        <v/>
      </c>
      <c r="I37" s="164">
        <f>G37*$B$13</f>
        <v/>
      </c>
      <c r="J37" s="151" t="n"/>
    </row>
    <row r="38" ht="15" customHeight="1" s="121">
      <c r="A38" s="152" t="n">
        <v>20</v>
      </c>
      <c r="B38" s="173" t="inlineStr">
        <is>
          <t>Yes</t>
        </is>
      </c>
      <c r="C38" s="177">
        <f>'Drop Rates'!$C$38</f>
        <v/>
      </c>
      <c r="D38" s="177">
        <f>'Drop Rates'!$D$38</f>
        <v/>
      </c>
      <c r="E38" s="153">
        <f>C38*$B$6+D38*$B$7+IF(MOD(A38,$B$14)=0,1,0)*$B$8+$B$12</f>
        <v/>
      </c>
      <c r="F38" s="177">
        <f>C38*Assumptions!$C$35*$B$9+D38*Assumptions!$C$37*$B$10+IF(MOD(A38,$B$14)=0,1,0)*$B$11</f>
        <v/>
      </c>
      <c r="G38" s="153">
        <f>G37+E38</f>
        <v/>
      </c>
      <c r="H38" s="166">
        <f>H37+F38</f>
        <v/>
      </c>
      <c r="I38" s="166">
        <f>G38*$B$13</f>
        <v/>
      </c>
      <c r="J38" s="155" t="inlineStr">
        <is>
          <t>Zone 4 boss — big VEIN/SIG payout</t>
        </is>
      </c>
    </row>
    <row r="39" ht="15" customHeight="1" s="121">
      <c r="A39" s="148" t="n"/>
      <c r="B39" s="172" t="n"/>
      <c r="C39" s="163" t="n"/>
      <c r="D39" s="163" t="n"/>
      <c r="E39" s="149" t="n"/>
      <c r="F39" s="163" t="n"/>
      <c r="G39" s="149" t="n"/>
      <c r="H39" s="164" t="n"/>
      <c r="I39" s="164" t="n"/>
      <c r="J39" s="151" t="n"/>
    </row>
    <row r="40" ht="15" customHeight="1" s="121">
      <c r="A40" s="152" t="n"/>
      <c r="B40" s="173" t="n"/>
      <c r="C40" s="177" t="n"/>
      <c r="D40" s="177" t="n"/>
      <c r="E40" s="153" t="n"/>
      <c r="F40" s="177" t="n"/>
      <c r="G40" s="153" t="n"/>
      <c r="H40" s="166" t="n"/>
      <c r="I40" s="166" t="n"/>
      <c r="J40" s="155" t="n"/>
    </row>
    <row r="41" ht="15" customHeight="1" s="121">
      <c r="A41" s="148" t="n"/>
      <c r="B41" s="172" t="n"/>
      <c r="C41" s="163" t="n"/>
      <c r="D41" s="163" t="n"/>
      <c r="E41" s="149" t="n"/>
      <c r="F41" s="163" t="n"/>
      <c r="G41" s="149" t="n"/>
      <c r="H41" s="164" t="n"/>
      <c r="I41" s="164" t="n"/>
      <c r="J41" s="151" t="n"/>
    </row>
    <row r="42" ht="15" customHeight="1" s="121">
      <c r="A42" s="152" t="n"/>
      <c r="B42" s="173" t="n"/>
      <c r="C42" s="177" t="n"/>
      <c r="D42" s="177" t="n"/>
      <c r="E42" s="153" t="n"/>
      <c r="F42" s="177" t="n"/>
      <c r="G42" s="153" t="n"/>
      <c r="H42" s="166" t="n"/>
      <c r="I42" s="166" t="n"/>
      <c r="J42" s="155" t="n"/>
    </row>
    <row r="43" ht="15" customHeight="1" s="121">
      <c r="A43" s="148" t="n"/>
      <c r="B43" s="172" t="n"/>
      <c r="C43" s="163" t="n"/>
      <c r="D43" s="163" t="n"/>
      <c r="E43" s="149" t="n"/>
      <c r="F43" s="163" t="n"/>
      <c r="G43" s="149" t="n"/>
      <c r="H43" s="164" t="n"/>
      <c r="I43" s="164" t="n"/>
      <c r="J43" s="151" t="n"/>
    </row>
    <row r="44" ht="15" customHeight="1" s="121">
      <c r="A44" s="152" t="n"/>
      <c r="B44" s="173" t="n"/>
      <c r="C44" s="177" t="n"/>
      <c r="D44" s="177" t="n"/>
      <c r="E44" s="153" t="n"/>
      <c r="F44" s="177" t="n"/>
      <c r="G44" s="153" t="n"/>
      <c r="H44" s="166" t="n"/>
      <c r="I44" s="166" t="n"/>
      <c r="J44" s="155" t="n"/>
    </row>
    <row r="45" ht="15" customHeight="1" s="121">
      <c r="A45" s="148" t="n"/>
      <c r="B45" s="172" t="n"/>
      <c r="C45" s="163" t="n"/>
      <c r="D45" s="163" t="n"/>
      <c r="E45" s="149" t="n"/>
      <c r="F45" s="163" t="n"/>
      <c r="G45" s="149" t="n"/>
      <c r="H45" s="164" t="n"/>
      <c r="I45" s="164" t="n"/>
      <c r="J45" s="151" t="n"/>
    </row>
    <row r="46" ht="15" customHeight="1" s="121">
      <c r="A46" s="152" t="n"/>
      <c r="B46" s="173" t="n"/>
      <c r="C46" s="177" t="n"/>
      <c r="D46" s="177" t="n"/>
      <c r="E46" s="153" t="n"/>
      <c r="F46" s="177" t="n"/>
      <c r="G46" s="153" t="n"/>
      <c r="H46" s="166" t="n"/>
      <c r="I46" s="166" t="n"/>
      <c r="J46" s="155" t="n"/>
    </row>
    <row r="47" ht="15" customHeight="1" s="121">
      <c r="A47" s="148" t="n"/>
      <c r="B47" s="172" t="n"/>
      <c r="C47" s="163" t="n"/>
      <c r="D47" s="163" t="n"/>
      <c r="E47" s="149" t="n"/>
      <c r="F47" s="163" t="n"/>
      <c r="G47" s="149" t="n"/>
      <c r="H47" s="164" t="n"/>
      <c r="I47" s="164" t="n"/>
      <c r="J47" s="151" t="n"/>
    </row>
    <row r="48" ht="15" customHeight="1" s="121">
      <c r="A48" s="152" t="n"/>
      <c r="B48" s="173" t="n"/>
      <c r="C48" s="177" t="n"/>
      <c r="D48" s="177" t="n"/>
      <c r="E48" s="153" t="n"/>
      <c r="F48" s="177" t="n"/>
      <c r="G48" s="153" t="n"/>
      <c r="H48" s="166" t="n"/>
      <c r="I48" s="166" t="n"/>
      <c r="J48" s="155" t="n"/>
    </row>
    <row r="49" ht="21.75" customHeight="1" s="121">
      <c r="A49" s="129" t="inlineStr">
        <is>
          <t>FULL-RUN TOTALS</t>
        </is>
      </c>
    </row>
    <row r="50" ht="15" customHeight="1" s="121">
      <c r="A50" s="178" t="inlineStr">
        <is>
          <t>Total VEIN per full clear (F1→F20)</t>
        </is>
      </c>
      <c r="E50" s="176">
        <f>SUM(E19:E38)</f>
        <v/>
      </c>
      <c r="F50" s="179" t="n"/>
      <c r="G50" s="179" t="n"/>
      <c r="H50" s="179" t="n"/>
      <c r="I50" s="179" t="n"/>
      <c r="J50" s="179" t="n"/>
    </row>
    <row r="51" ht="15" customHeight="1" s="121">
      <c r="A51" s="178" t="inlineStr">
        <is>
          <t>Total SIG per full clear (F1→F20)</t>
        </is>
      </c>
      <c r="E51" s="179" t="n"/>
      <c r="F51" s="175">
        <f>SUM(F19:F38)</f>
        <v/>
      </c>
      <c r="G51" s="179" t="n"/>
      <c r="H51" s="179" t="n"/>
      <c r="I51" s="179" t="n"/>
      <c r="J51" s="179" t="n"/>
    </row>
    <row r="52" ht="15" customHeight="1" s="121">
      <c r="A52" s="178" t="inlineStr">
        <is>
          <t>Total Shards per full clear (F1→F20)</t>
        </is>
      </c>
      <c r="E52" s="179" t="n"/>
      <c r="F52" s="179" t="n"/>
      <c r="G52" s="179" t="n"/>
      <c r="H52" s="179" t="n"/>
      <c r="I52" s="175">
        <f>G38*$B$13</f>
        <v/>
      </c>
      <c r="J52" s="179" t="n"/>
    </row>
  </sheetData>
  <mergeCells count="8">
    <mergeCell ref="A1:J1"/>
    <mergeCell ref="A50:D50"/>
    <mergeCell ref="A17:J17"/>
    <mergeCell ref="A2:J2"/>
    <mergeCell ref="A52:D52"/>
    <mergeCell ref="A4:J4"/>
    <mergeCell ref="A51:D51"/>
    <mergeCell ref="A49:J4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K48"/>
  <sheetViews>
    <sheetView showFormulas="0" showGridLines="0" showRowColHeaders="1" showZeros="1" rightToLeft="0" tabSelected="0" showOutlineSymbols="1" defaultGridColor="1"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20" min="1" max="1"/>
    <col width="14" customWidth="1" style="120" min="2" max="10"/>
    <col width="36" customWidth="1" style="120" min="11" max="11"/>
  </cols>
  <sheetData>
    <row r="1" ht="19.5" customHeight="1" s="121">
      <c r="A1" s="122" t="inlineStr">
        <is>
          <t>RUN PACING</t>
        </is>
      </c>
    </row>
    <row r="2" ht="15" customHeight="1" s="121">
      <c r="A2" s="123" t="inlineStr">
        <is>
          <t>Expected combat and clear time per floor. Sum-to-20 is the full-clear run time — a retention proxy used by the IAP and DAU sheets.</t>
        </is>
      </c>
    </row>
    <row r="4" ht="21.75" customHeight="1" s="121">
      <c r="A4" s="129" t="inlineStr">
        <is>
          <t>DRIVER INPUTS</t>
        </is>
      </c>
    </row>
    <row r="5" ht="15" customHeight="1" s="121">
      <c r="A5" s="128" t="inlineStr">
        <is>
          <t>Driver</t>
        </is>
      </c>
      <c r="B5" s="128" t="inlineStr">
        <is>
          <t>Value</t>
        </is>
      </c>
      <c r="D5" s="180" t="inlineStr">
        <is>
          <t>Driver</t>
        </is>
      </c>
      <c r="E5" s="180" t="inlineStr">
        <is>
          <t>Value</t>
        </is>
      </c>
    </row>
    <row r="6" ht="26.25" customHeight="1" s="121">
      <c r="A6" s="145" t="inlineStr">
        <is>
          <t>avg_floor_time_min</t>
        </is>
      </c>
      <c r="B6" s="163">
        <f>Assumptions!$C$54</f>
        <v/>
      </c>
      <c r="D6" s="131" t="inlineStr">
        <is>
          <t>combat_seconds_per_turn</t>
        </is>
      </c>
      <c r="E6" s="146">
        <f>Assumptions!$C$61</f>
        <v/>
      </c>
    </row>
    <row r="7" ht="26.25" customHeight="1" s="121">
      <c r="A7" s="145" t="inlineStr">
        <is>
          <t>boss_every_n_floors</t>
        </is>
      </c>
      <c r="B7" s="146">
        <f>Assumptions!$C$53</f>
        <v/>
      </c>
      <c r="D7" s="131" t="inlineStr">
        <is>
          <t>nav_seconds_per_floor</t>
        </is>
      </c>
      <c r="E7" s="146">
        <f>Assumptions!$C$62</f>
        <v/>
      </c>
    </row>
    <row r="8" ht="39" customHeight="1" s="121">
      <c r="A8" s="145" t="inlineStr">
        <is>
          <t>max_floor</t>
        </is>
      </c>
      <c r="B8" s="146">
        <f>Assumptions!$C$6</f>
        <v/>
      </c>
      <c r="D8" s="131" t="inlineStr">
        <is>
          <t>reward_ui_seconds_per_floor</t>
        </is>
      </c>
      <c r="E8" s="146">
        <f>Assumptions!$C$63</f>
        <v/>
      </c>
    </row>
    <row r="10" ht="31.5" customHeight="1" s="121">
      <c r="A10" s="151" t="inlineStr">
        <is>
          <t>Methodology: Estimated combat seconds per floor = (commons × common turns-to-kill + elites × elite turns-to-kill + boss × boss turns-to-kill) × 6 seconds per turn. Adds 30s navigation + 15s reward UI per floor.</t>
        </is>
      </c>
    </row>
    <row r="12" ht="21.75" customHeight="1" s="121">
      <c r="A12" s="129" t="inlineStr">
        <is>
          <t>PER-FLOOR PACING</t>
        </is>
      </c>
    </row>
    <row r="13" ht="27.75" customHeight="1" s="121">
      <c r="A13" s="128" t="inlineStr">
        <is>
          <t>Floor</t>
        </is>
      </c>
      <c r="B13" s="128" t="inlineStr">
        <is>
          <t>Boss?</t>
        </is>
      </c>
      <c r="C13" s="128" t="inlineStr">
        <is>
          <t>Commons</t>
        </is>
      </c>
      <c r="D13" s="128" t="inlineStr">
        <is>
          <t>Elites</t>
        </is>
      </c>
      <c r="E13" s="128" t="inlineStr">
        <is>
          <t>Common TtK</t>
        </is>
      </c>
      <c r="F13" s="128" t="inlineStr">
        <is>
          <t>Elite/Boss TtK</t>
        </is>
      </c>
      <c r="G13" s="128" t="inlineStr">
        <is>
          <t>Combat sec</t>
        </is>
      </c>
      <c r="H13" s="128" t="inlineStr">
        <is>
          <t>Floor total sec</t>
        </is>
      </c>
      <c r="I13" s="128" t="inlineStr">
        <is>
          <t>Floor total min</t>
        </is>
      </c>
      <c r="J13" s="128" t="inlineStr">
        <is>
          <t>Cum. minutes</t>
        </is>
      </c>
      <c r="K13" s="128" t="inlineStr">
        <is>
          <t>Notes</t>
        </is>
      </c>
    </row>
    <row r="14" ht="15" customHeight="1" s="121">
      <c r="A14" s="148" t="n">
        <v>1</v>
      </c>
      <c r="B14" s="172" t="n"/>
      <c r="C14" s="163">
        <f>'Drop Rates'!$C$19</f>
        <v/>
      </c>
      <c r="D14" s="163">
        <f>'Drop Rates'!$D$19</f>
        <v/>
      </c>
      <c r="E14" s="146">
        <f>'Enemy Stats'!$G$19</f>
        <v/>
      </c>
      <c r="F14" s="146">
        <f>'Enemy Stats'!$G$20</f>
        <v/>
      </c>
      <c r="G14" s="149">
        <f>(C14*E14 + D14*F14 + IF(MOD(A14,$B$7)=0,1,0)*F14) * $E$6</f>
        <v/>
      </c>
      <c r="H14" s="149">
        <f>G14+$E$7+$E$8</f>
        <v/>
      </c>
      <c r="I14" s="164">
        <f>H14/60</f>
        <v/>
      </c>
      <c r="J14" s="164">
        <f>I14</f>
        <v/>
      </c>
      <c r="K14" s="151" t="n"/>
    </row>
    <row r="15" ht="15" customHeight="1" s="121">
      <c r="A15" s="152" t="n">
        <v>2</v>
      </c>
      <c r="B15" s="173" t="n"/>
      <c r="C15" s="177">
        <f>'Drop Rates'!$C$20</f>
        <v/>
      </c>
      <c r="D15" s="177">
        <f>'Drop Rates'!$D$20</f>
        <v/>
      </c>
      <c r="E15" s="174">
        <f>'Enemy Stats'!$G$21</f>
        <v/>
      </c>
      <c r="F15" s="174">
        <f>'Enemy Stats'!$G$22</f>
        <v/>
      </c>
      <c r="G15" s="153">
        <f>(C15*E15 + D15*F15 + IF(MOD(A15,$B$7)=0,1,0)*F15) * $E$6</f>
        <v/>
      </c>
      <c r="H15" s="153">
        <f>G15+$E$7+$E$8</f>
        <v/>
      </c>
      <c r="I15" s="166">
        <f>H15/60</f>
        <v/>
      </c>
      <c r="J15" s="166">
        <f>J14+I15</f>
        <v/>
      </c>
      <c r="K15" s="155" t="n"/>
    </row>
    <row r="16" ht="15" customHeight="1" s="121">
      <c r="A16" s="148" t="n">
        <v>3</v>
      </c>
      <c r="B16" s="172" t="n"/>
      <c r="C16" s="163">
        <f>'Drop Rates'!$C$21</f>
        <v/>
      </c>
      <c r="D16" s="163">
        <f>'Drop Rates'!$D$21</f>
        <v/>
      </c>
      <c r="E16" s="146">
        <f>'Enemy Stats'!$G$23</f>
        <v/>
      </c>
      <c r="F16" s="146">
        <f>'Enemy Stats'!$G$24</f>
        <v/>
      </c>
      <c r="G16" s="149">
        <f>(C16*E16 + D16*F16 + IF(MOD(A16,$B$7)=0,1,0)*F16) * $E$6</f>
        <v/>
      </c>
      <c r="H16" s="149">
        <f>G16+$E$7+$E$8</f>
        <v/>
      </c>
      <c r="I16" s="164">
        <f>H16/60</f>
        <v/>
      </c>
      <c r="J16" s="164">
        <f>J15+I16</f>
        <v/>
      </c>
      <c r="K16" s="151" t="n"/>
    </row>
    <row r="17" ht="15" customHeight="1" s="121">
      <c r="A17" s="152" t="n">
        <v>4</v>
      </c>
      <c r="B17" s="173" t="n"/>
      <c r="C17" s="177">
        <f>'Drop Rates'!$C$22</f>
        <v/>
      </c>
      <c r="D17" s="177">
        <f>'Drop Rates'!$D$22</f>
        <v/>
      </c>
      <c r="E17" s="174">
        <f>'Enemy Stats'!$G$25</f>
        <v/>
      </c>
      <c r="F17" s="174">
        <f>'Enemy Stats'!$G$26</f>
        <v/>
      </c>
      <c r="G17" s="153">
        <f>(C17*E17 + D17*F17 + IF(MOD(A17,$B$7)=0,1,0)*F17) * $E$6</f>
        <v/>
      </c>
      <c r="H17" s="153">
        <f>G17+$E$7+$E$8</f>
        <v/>
      </c>
      <c r="I17" s="166">
        <f>H17/60</f>
        <v/>
      </c>
      <c r="J17" s="166">
        <f>J16+I17</f>
        <v/>
      </c>
      <c r="K17" s="155" t="n"/>
    </row>
    <row r="18" ht="15" customHeight="1" s="121">
      <c r="A18" s="148" t="n">
        <v>5</v>
      </c>
      <c r="B18" s="172" t="inlineStr">
        <is>
          <t>Yes</t>
        </is>
      </c>
      <c r="C18" s="163">
        <f>'Drop Rates'!$C$23</f>
        <v/>
      </c>
      <c r="D18" s="163">
        <f>'Drop Rates'!$D$23</f>
        <v/>
      </c>
      <c r="E18" s="146">
        <f>'Enemy Stats'!$G$27</f>
        <v/>
      </c>
      <c r="F18" s="146">
        <f>'Enemy Stats'!$G$28</f>
        <v/>
      </c>
      <c r="G18" s="149">
        <f>(C18*E18 + D18*F18 + IF(MOD(A18,$B$7)=0,1,0)*F18) * $E$6</f>
        <v/>
      </c>
      <c r="H18" s="149">
        <f>G18+$E$7+$E$8</f>
        <v/>
      </c>
      <c r="I18" s="164">
        <f>H18/60</f>
        <v/>
      </c>
      <c r="J18" s="164">
        <f>J17+I18</f>
        <v/>
      </c>
      <c r="K18" s="151" t="inlineStr">
        <is>
          <t>Zone 1 boss — longer fight</t>
        </is>
      </c>
    </row>
    <row r="19" ht="15" customHeight="1" s="121">
      <c r="A19" s="152" t="n">
        <v>6</v>
      </c>
      <c r="B19" s="173" t="n"/>
      <c r="C19" s="177">
        <f>'Drop Rates'!$C$24</f>
        <v/>
      </c>
      <c r="D19" s="177">
        <f>'Drop Rates'!$D$24</f>
        <v/>
      </c>
      <c r="E19" s="174">
        <f>'Enemy Stats'!$G$29</f>
        <v/>
      </c>
      <c r="F19" s="174">
        <f>'Enemy Stats'!$G$30</f>
        <v/>
      </c>
      <c r="G19" s="153">
        <f>(C19*E19 + D19*F19 + IF(MOD(A19,$B$7)=0,1,0)*F19) * $E$6</f>
        <v/>
      </c>
      <c r="H19" s="153">
        <f>G19+$E$7+$E$8</f>
        <v/>
      </c>
      <c r="I19" s="166">
        <f>H19/60</f>
        <v/>
      </c>
      <c r="J19" s="166">
        <f>J18+I19</f>
        <v/>
      </c>
      <c r="K19" s="155" t="n"/>
    </row>
    <row r="20" ht="15" customHeight="1" s="121">
      <c r="A20" s="148" t="n">
        <v>7</v>
      </c>
      <c r="B20" s="172" t="n"/>
      <c r="C20" s="163">
        <f>'Drop Rates'!$C$25</f>
        <v/>
      </c>
      <c r="D20" s="163">
        <f>'Drop Rates'!$D$25</f>
        <v/>
      </c>
      <c r="E20" s="146">
        <f>'Enemy Stats'!$G$31</f>
        <v/>
      </c>
      <c r="F20" s="146">
        <f>'Enemy Stats'!$G$32</f>
        <v/>
      </c>
      <c r="G20" s="149">
        <f>(C20*E20 + D20*F20 + IF(MOD(A20,$B$7)=0,1,0)*F20) * $E$6</f>
        <v/>
      </c>
      <c r="H20" s="149">
        <f>G20+$E$7+$E$8</f>
        <v/>
      </c>
      <c r="I20" s="164">
        <f>H20/60</f>
        <v/>
      </c>
      <c r="J20" s="164">
        <f>J19+I20</f>
        <v/>
      </c>
      <c r="K20" s="151" t="n"/>
    </row>
    <row r="21" ht="15" customHeight="1" s="121">
      <c r="A21" s="152" t="n">
        <v>8</v>
      </c>
      <c r="B21" s="173" t="n"/>
      <c r="C21" s="177">
        <f>'Drop Rates'!$C$26</f>
        <v/>
      </c>
      <c r="D21" s="177">
        <f>'Drop Rates'!$D$26</f>
        <v/>
      </c>
      <c r="E21" s="174">
        <f>'Enemy Stats'!$G$33</f>
        <v/>
      </c>
      <c r="F21" s="174">
        <f>'Enemy Stats'!$G$34</f>
        <v/>
      </c>
      <c r="G21" s="153">
        <f>(C21*E21 + D21*F21 + IF(MOD(A21,$B$7)=0,1,0)*F21) * $E$6</f>
        <v/>
      </c>
      <c r="H21" s="153">
        <f>G21+$E$7+$E$8</f>
        <v/>
      </c>
      <c r="I21" s="166">
        <f>H21/60</f>
        <v/>
      </c>
      <c r="J21" s="166">
        <f>J20+I21</f>
        <v/>
      </c>
      <c r="K21" s="155" t="n"/>
    </row>
    <row r="22" ht="15" customHeight="1" s="121">
      <c r="A22" s="148" t="n">
        <v>9</v>
      </c>
      <c r="B22" s="172" t="n"/>
      <c r="C22" s="163">
        <f>'Drop Rates'!$C$27</f>
        <v/>
      </c>
      <c r="D22" s="163">
        <f>'Drop Rates'!$D$27</f>
        <v/>
      </c>
      <c r="E22" s="146">
        <f>'Enemy Stats'!$G$35</f>
        <v/>
      </c>
      <c r="F22" s="146">
        <f>'Enemy Stats'!$G$36</f>
        <v/>
      </c>
      <c r="G22" s="149">
        <f>(C22*E22 + D22*F22 + IF(MOD(A22,$B$7)=0,1,0)*F22) * $E$6</f>
        <v/>
      </c>
      <c r="H22" s="149">
        <f>G22+$E$7+$E$8</f>
        <v/>
      </c>
      <c r="I22" s="164">
        <f>H22/60</f>
        <v/>
      </c>
      <c r="J22" s="164">
        <f>J21+I22</f>
        <v/>
      </c>
      <c r="K22" s="151" t="n"/>
    </row>
    <row r="23" ht="15" customHeight="1" s="121">
      <c r="A23" s="152" t="n">
        <v>10</v>
      </c>
      <c r="B23" s="173" t="inlineStr">
        <is>
          <t>Yes</t>
        </is>
      </c>
      <c r="C23" s="177">
        <f>'Drop Rates'!$C$28</f>
        <v/>
      </c>
      <c r="D23" s="177">
        <f>'Drop Rates'!$D$28</f>
        <v/>
      </c>
      <c r="E23" s="174">
        <f>'Enemy Stats'!$G$37</f>
        <v/>
      </c>
      <c r="F23" s="174">
        <f>'Enemy Stats'!$G$38</f>
        <v/>
      </c>
      <c r="G23" s="153">
        <f>(C23*E23 + D23*F23 + IF(MOD(A23,$B$7)=0,1,0)*F23) * $E$6</f>
        <v/>
      </c>
      <c r="H23" s="153">
        <f>G23+$E$7+$E$8</f>
        <v/>
      </c>
      <c r="I23" s="166">
        <f>H23/60</f>
        <v/>
      </c>
      <c r="J23" s="166">
        <f>J22+I23</f>
        <v/>
      </c>
      <c r="K23" s="155" t="inlineStr">
        <is>
          <t>Zone 2 boss — longer fight</t>
        </is>
      </c>
    </row>
    <row r="24" ht="15" customHeight="1" s="121">
      <c r="A24" s="148" t="n">
        <v>11</v>
      </c>
      <c r="B24" s="172" t="n"/>
      <c r="C24" s="163">
        <f>'Drop Rates'!$C$29</f>
        <v/>
      </c>
      <c r="D24" s="163">
        <f>'Drop Rates'!$D$29</f>
        <v/>
      </c>
      <c r="E24" s="146">
        <f>'Enemy Stats'!$G$39</f>
        <v/>
      </c>
      <c r="F24" s="146">
        <f>'Enemy Stats'!$G$40</f>
        <v/>
      </c>
      <c r="G24" s="149">
        <f>(C24*E24 + D24*F24 + IF(MOD(A24,$B$7)=0,1,0)*F24) * $E$6</f>
        <v/>
      </c>
      <c r="H24" s="149">
        <f>G24+$E$7+$E$8</f>
        <v/>
      </c>
      <c r="I24" s="164">
        <f>H24/60</f>
        <v/>
      </c>
      <c r="J24" s="164">
        <f>J23+I24</f>
        <v/>
      </c>
      <c r="K24" s="151" t="n"/>
    </row>
    <row r="25" ht="15" customHeight="1" s="121">
      <c r="A25" s="152" t="n">
        <v>12</v>
      </c>
      <c r="B25" s="173" t="n"/>
      <c r="C25" s="177">
        <f>'Drop Rates'!$C$30</f>
        <v/>
      </c>
      <c r="D25" s="177">
        <f>'Drop Rates'!$D$30</f>
        <v/>
      </c>
      <c r="E25" s="174">
        <f>'Enemy Stats'!$G$41</f>
        <v/>
      </c>
      <c r="F25" s="174">
        <f>'Enemy Stats'!$G$42</f>
        <v/>
      </c>
      <c r="G25" s="153">
        <f>(C25*E25 + D25*F25 + IF(MOD(A25,$B$7)=0,1,0)*F25) * $E$6</f>
        <v/>
      </c>
      <c r="H25" s="153">
        <f>G25+$E$7+$E$8</f>
        <v/>
      </c>
      <c r="I25" s="166">
        <f>H25/60</f>
        <v/>
      </c>
      <c r="J25" s="166">
        <f>J24+I25</f>
        <v/>
      </c>
      <c r="K25" s="155" t="n"/>
    </row>
    <row r="26" ht="15" customHeight="1" s="121">
      <c r="A26" s="148" t="n">
        <v>13</v>
      </c>
      <c r="B26" s="172" t="n"/>
      <c r="C26" s="163">
        <f>'Drop Rates'!$C$31</f>
        <v/>
      </c>
      <c r="D26" s="163">
        <f>'Drop Rates'!$D$31</f>
        <v/>
      </c>
      <c r="E26" s="146">
        <f>'Enemy Stats'!$G$43</f>
        <v/>
      </c>
      <c r="F26" s="146">
        <f>'Enemy Stats'!$G$44</f>
        <v/>
      </c>
      <c r="G26" s="149">
        <f>(C26*E26 + D26*F26 + IF(MOD(A26,$B$7)=0,1,0)*F26) * $E$6</f>
        <v/>
      </c>
      <c r="H26" s="149">
        <f>G26+$E$7+$E$8</f>
        <v/>
      </c>
      <c r="I26" s="164">
        <f>H26/60</f>
        <v/>
      </c>
      <c r="J26" s="164">
        <f>J25+I26</f>
        <v/>
      </c>
      <c r="K26" s="151" t="n"/>
    </row>
    <row r="27" ht="15" customHeight="1" s="121">
      <c r="A27" s="152" t="n">
        <v>14</v>
      </c>
      <c r="B27" s="173" t="n"/>
      <c r="C27" s="177">
        <f>'Drop Rates'!$C$32</f>
        <v/>
      </c>
      <c r="D27" s="177">
        <f>'Drop Rates'!$D$32</f>
        <v/>
      </c>
      <c r="E27" s="174">
        <f>'Enemy Stats'!$G$45</f>
        <v/>
      </c>
      <c r="F27" s="174">
        <f>'Enemy Stats'!$G$46</f>
        <v/>
      </c>
      <c r="G27" s="153">
        <f>(C27*E27 + D27*F27 + IF(MOD(A27,$B$7)=0,1,0)*F27) * $E$6</f>
        <v/>
      </c>
      <c r="H27" s="153">
        <f>G27+$E$7+$E$8</f>
        <v/>
      </c>
      <c r="I27" s="166">
        <f>H27/60</f>
        <v/>
      </c>
      <c r="J27" s="166">
        <f>J26+I27</f>
        <v/>
      </c>
      <c r="K27" s="155" t="n"/>
    </row>
    <row r="28" ht="15" customHeight="1" s="121">
      <c r="A28" s="148" t="n">
        <v>15</v>
      </c>
      <c r="B28" s="172" t="inlineStr">
        <is>
          <t>Yes</t>
        </is>
      </c>
      <c r="C28" s="163">
        <f>'Drop Rates'!$C$33</f>
        <v/>
      </c>
      <c r="D28" s="163">
        <f>'Drop Rates'!$D$33</f>
        <v/>
      </c>
      <c r="E28" s="146">
        <f>'Enemy Stats'!$G$47</f>
        <v/>
      </c>
      <c r="F28" s="146">
        <f>'Enemy Stats'!$G$48</f>
        <v/>
      </c>
      <c r="G28" s="149">
        <f>(C28*E28 + D28*F28 + IF(MOD(A28,$B$7)=0,1,0)*F28) * $E$6</f>
        <v/>
      </c>
      <c r="H28" s="149">
        <f>G28+$E$7+$E$8</f>
        <v/>
      </c>
      <c r="I28" s="164">
        <f>H28/60</f>
        <v/>
      </c>
      <c r="J28" s="164">
        <f>J27+I28</f>
        <v/>
      </c>
      <c r="K28" s="151" t="inlineStr">
        <is>
          <t>Zone 3 boss — longer fight</t>
        </is>
      </c>
    </row>
    <row r="29" ht="15" customHeight="1" s="121">
      <c r="A29" s="152" t="n">
        <v>16</v>
      </c>
      <c r="B29" s="173" t="n"/>
      <c r="C29" s="177">
        <f>'Drop Rates'!$C$34</f>
        <v/>
      </c>
      <c r="D29" s="177">
        <f>'Drop Rates'!$D$34</f>
        <v/>
      </c>
      <c r="E29" s="174">
        <f>'Enemy Stats'!$G$49</f>
        <v/>
      </c>
      <c r="F29" s="174">
        <f>'Enemy Stats'!$G$50</f>
        <v/>
      </c>
      <c r="G29" s="153">
        <f>(C29*E29 + D29*F29 + IF(MOD(A29,$B$7)=0,1,0)*F29) * $E$6</f>
        <v/>
      </c>
      <c r="H29" s="153">
        <f>G29+$E$7+$E$8</f>
        <v/>
      </c>
      <c r="I29" s="166">
        <f>H29/60</f>
        <v/>
      </c>
      <c r="J29" s="166">
        <f>J28+I29</f>
        <v/>
      </c>
      <c r="K29" s="155" t="n"/>
    </row>
    <row r="30" ht="15" customHeight="1" s="121">
      <c r="A30" s="148" t="n">
        <v>17</v>
      </c>
      <c r="B30" s="172" t="n"/>
      <c r="C30" s="163">
        <f>'Drop Rates'!$C$35</f>
        <v/>
      </c>
      <c r="D30" s="163">
        <f>'Drop Rates'!$D$35</f>
        <v/>
      </c>
      <c r="E30" s="146">
        <f>'Enemy Stats'!$G$51</f>
        <v/>
      </c>
      <c r="F30" s="146">
        <f>'Enemy Stats'!$G$52</f>
        <v/>
      </c>
      <c r="G30" s="149">
        <f>(C30*E30 + D30*F30 + IF(MOD(A30,$B$7)=0,1,0)*F30) * $E$6</f>
        <v/>
      </c>
      <c r="H30" s="149">
        <f>G30+$E$7+$E$8</f>
        <v/>
      </c>
      <c r="I30" s="164">
        <f>H30/60</f>
        <v/>
      </c>
      <c r="J30" s="164">
        <f>J29+I30</f>
        <v/>
      </c>
      <c r="K30" s="151" t="n"/>
    </row>
    <row r="31" ht="15" customHeight="1" s="121">
      <c r="A31" s="152" t="n">
        <v>18</v>
      </c>
      <c r="B31" s="173" t="n"/>
      <c r="C31" s="177">
        <f>'Drop Rates'!$C$36</f>
        <v/>
      </c>
      <c r="D31" s="177">
        <f>'Drop Rates'!$D$36</f>
        <v/>
      </c>
      <c r="E31" s="174">
        <f>'Enemy Stats'!$G$53</f>
        <v/>
      </c>
      <c r="F31" s="174">
        <f>'Enemy Stats'!$G$54</f>
        <v/>
      </c>
      <c r="G31" s="153">
        <f>(C31*E31 + D31*F31 + IF(MOD(A31,$B$7)=0,1,0)*F31) * $E$6</f>
        <v/>
      </c>
      <c r="H31" s="153">
        <f>G31+$E$7+$E$8</f>
        <v/>
      </c>
      <c r="I31" s="166">
        <f>H31/60</f>
        <v/>
      </c>
      <c r="J31" s="166">
        <f>J30+I31</f>
        <v/>
      </c>
      <c r="K31" s="155" t="n"/>
    </row>
    <row r="32" ht="15" customHeight="1" s="121">
      <c r="A32" s="148" t="n">
        <v>19</v>
      </c>
      <c r="B32" s="172" t="n"/>
      <c r="C32" s="163">
        <f>'Drop Rates'!$C$37</f>
        <v/>
      </c>
      <c r="D32" s="163">
        <f>'Drop Rates'!$D$37</f>
        <v/>
      </c>
      <c r="E32" s="146">
        <f>'Enemy Stats'!$G$55</f>
        <v/>
      </c>
      <c r="F32" s="146">
        <f>'Enemy Stats'!$G$56</f>
        <v/>
      </c>
      <c r="G32" s="149">
        <f>(C32*E32 + D32*F32 + IF(MOD(A32,$B$7)=0,1,0)*F32) * $E$6</f>
        <v/>
      </c>
      <c r="H32" s="149">
        <f>G32+$E$7+$E$8</f>
        <v/>
      </c>
      <c r="I32" s="164">
        <f>H32/60</f>
        <v/>
      </c>
      <c r="J32" s="164">
        <f>J31+I32</f>
        <v/>
      </c>
      <c r="K32" s="151" t="n"/>
    </row>
    <row r="33" ht="15" customHeight="1" s="121">
      <c r="A33" s="152" t="n">
        <v>20</v>
      </c>
      <c r="B33" s="173" t="inlineStr">
        <is>
          <t>Yes</t>
        </is>
      </c>
      <c r="C33" s="177">
        <f>'Drop Rates'!$C$38</f>
        <v/>
      </c>
      <c r="D33" s="177">
        <f>'Drop Rates'!$D$38</f>
        <v/>
      </c>
      <c r="E33" s="174">
        <f>'Enemy Stats'!$G$57</f>
        <v/>
      </c>
      <c r="F33" s="174">
        <f>'Enemy Stats'!$G$58</f>
        <v/>
      </c>
      <c r="G33" s="153">
        <f>(C33*E33 + D33*F33 + IF(MOD(A33,$B$7)=0,1,0)*F33) * $E$6</f>
        <v/>
      </c>
      <c r="H33" s="153">
        <f>G33+$E$7+$E$8</f>
        <v/>
      </c>
      <c r="I33" s="166">
        <f>H33/60</f>
        <v/>
      </c>
      <c r="J33" s="166">
        <f>J32+I33</f>
        <v/>
      </c>
      <c r="K33" s="155" t="inlineStr">
        <is>
          <t>Zone 4 boss — longer fight</t>
        </is>
      </c>
    </row>
    <row r="34" ht="15" customHeight="1" s="121">
      <c r="A34" s="148" t="n"/>
      <c r="B34" s="172" t="n"/>
      <c r="C34" s="163" t="n"/>
      <c r="D34" s="163" t="n"/>
      <c r="E34" s="146" t="n"/>
      <c r="F34" s="146" t="n"/>
      <c r="G34" s="149" t="n"/>
      <c r="H34" s="149" t="n"/>
      <c r="I34" s="164" t="n"/>
      <c r="J34" s="164" t="n"/>
      <c r="K34" s="151" t="n"/>
    </row>
    <row r="35" ht="15" customHeight="1" s="121">
      <c r="A35" s="152" t="n"/>
      <c r="B35" s="173" t="n"/>
      <c r="C35" s="177" t="n"/>
      <c r="D35" s="177" t="n"/>
      <c r="E35" s="174" t="n"/>
      <c r="F35" s="174" t="n"/>
      <c r="G35" s="153" t="n"/>
      <c r="H35" s="153" t="n"/>
      <c r="I35" s="166" t="n"/>
      <c r="J35" s="166" t="n"/>
      <c r="K35" s="155" t="n"/>
    </row>
    <row r="36" ht="15" customHeight="1" s="121">
      <c r="A36" s="148" t="n"/>
      <c r="B36" s="172" t="n"/>
      <c r="C36" s="163" t="n"/>
      <c r="D36" s="163" t="n"/>
      <c r="E36" s="146" t="n"/>
      <c r="F36" s="146" t="n"/>
      <c r="G36" s="149" t="n"/>
      <c r="H36" s="149" t="n"/>
      <c r="I36" s="164" t="n"/>
      <c r="J36" s="164" t="n"/>
      <c r="K36" s="151" t="n"/>
    </row>
    <row r="37" ht="15" customHeight="1" s="121">
      <c r="A37" s="152" t="n"/>
      <c r="B37" s="173" t="n"/>
      <c r="C37" s="177" t="n"/>
      <c r="D37" s="177" t="n"/>
      <c r="E37" s="174" t="n"/>
      <c r="F37" s="174" t="n"/>
      <c r="G37" s="153" t="n"/>
      <c r="H37" s="153" t="n"/>
      <c r="I37" s="166" t="n"/>
      <c r="J37" s="166" t="n"/>
      <c r="K37" s="155" t="n"/>
    </row>
    <row r="38" ht="15" customHeight="1" s="121">
      <c r="A38" s="148" t="n"/>
      <c r="B38" s="172" t="n"/>
      <c r="C38" s="163" t="n"/>
      <c r="D38" s="163" t="n"/>
      <c r="E38" s="146" t="n"/>
      <c r="F38" s="146" t="n"/>
      <c r="G38" s="149" t="n"/>
      <c r="H38" s="149" t="n"/>
      <c r="I38" s="164" t="n"/>
      <c r="J38" s="164" t="n"/>
      <c r="K38" s="151" t="n"/>
    </row>
    <row r="39" ht="15" customHeight="1" s="121">
      <c r="A39" s="152" t="n"/>
      <c r="B39" s="173" t="n"/>
      <c r="C39" s="177" t="n"/>
      <c r="D39" s="177" t="n"/>
      <c r="E39" s="174" t="n"/>
      <c r="F39" s="174" t="n"/>
      <c r="G39" s="153" t="n"/>
      <c r="H39" s="153" t="n"/>
      <c r="I39" s="166" t="n"/>
      <c r="J39" s="166" t="n"/>
      <c r="K39" s="155" t="n"/>
    </row>
    <row r="40" ht="15" customHeight="1" s="121">
      <c r="A40" s="148" t="n"/>
      <c r="B40" s="172" t="n"/>
      <c r="C40" s="163" t="n"/>
      <c r="D40" s="163" t="n"/>
      <c r="E40" s="146" t="n"/>
      <c r="F40" s="146" t="n"/>
      <c r="G40" s="149" t="n"/>
      <c r="H40" s="149" t="n"/>
      <c r="I40" s="164" t="n"/>
      <c r="J40" s="164" t="n"/>
      <c r="K40" s="151" t="n"/>
    </row>
    <row r="41" ht="15" customHeight="1" s="121">
      <c r="A41" s="152" t="n"/>
      <c r="B41" s="173" t="n"/>
      <c r="C41" s="177" t="n"/>
      <c r="D41" s="177" t="n"/>
      <c r="E41" s="174" t="n"/>
      <c r="F41" s="174" t="n"/>
      <c r="G41" s="153" t="n"/>
      <c r="H41" s="153" t="n"/>
      <c r="I41" s="166" t="n"/>
      <c r="J41" s="166" t="n"/>
      <c r="K41" s="155" t="n"/>
    </row>
    <row r="42" ht="15" customHeight="1" s="121">
      <c r="A42" s="148" t="n"/>
      <c r="B42" s="172" t="n"/>
      <c r="C42" s="163" t="n"/>
      <c r="D42" s="163" t="n"/>
      <c r="E42" s="146" t="n"/>
      <c r="F42" s="146" t="n"/>
      <c r="G42" s="149" t="n"/>
      <c r="H42" s="149" t="n"/>
      <c r="I42" s="164" t="n"/>
      <c r="J42" s="164" t="n"/>
      <c r="K42" s="151" t="n"/>
    </row>
    <row r="43" ht="15" customHeight="1" s="121">
      <c r="A43" s="152" t="n"/>
      <c r="B43" s="173" t="n"/>
      <c r="C43" s="177" t="n"/>
      <c r="D43" s="177" t="n"/>
      <c r="E43" s="174" t="n"/>
      <c r="F43" s="174" t="n"/>
      <c r="G43" s="153" t="n"/>
      <c r="H43" s="153" t="n"/>
      <c r="I43" s="166" t="n"/>
      <c r="J43" s="166" t="n"/>
      <c r="K43" s="155" t="n"/>
    </row>
    <row r="44" ht="21.75" customHeight="1" s="121">
      <c r="A44" s="129" t="inlineStr">
        <is>
          <t>RUN PACING SUMMARY</t>
        </is>
      </c>
    </row>
    <row r="45" ht="15" customHeight="1" s="121">
      <c r="A45" s="178" t="inlineStr">
        <is>
          <t>Total full-clear time (minutes)</t>
        </is>
      </c>
      <c r="I45" s="175">
        <f>SUM(I14:I33)</f>
        <v/>
      </c>
      <c r="J45" s="179" t="n"/>
      <c r="K45" s="179" t="n"/>
    </row>
    <row r="46" ht="15" customHeight="1" s="121">
      <c r="A46" s="178" t="inlineStr">
        <is>
          <t>Total full-clear time (hours)</t>
        </is>
      </c>
      <c r="I46" s="175">
        <f>SUM(I14:I33)/60</f>
        <v/>
      </c>
      <c r="J46" s="179" t="n"/>
      <c r="K46" s="179" t="n"/>
    </row>
    <row r="47" ht="15" customHeight="1" s="121">
      <c r="A47" s="178" t="inlineStr">
        <is>
          <t>Average minutes per floor (target = avg_floor_time_min)</t>
        </is>
      </c>
      <c r="I47" s="175">
        <f>AVERAGE(I14:I33)</f>
        <v/>
      </c>
      <c r="J47" s="179" t="n"/>
      <c r="K47" s="179" t="n"/>
    </row>
    <row r="48" ht="15" customHeight="1" s="121">
      <c r="A48" s="178" t="inlineStr">
        <is>
          <t>Delta vs target (negative = faster than target)</t>
        </is>
      </c>
      <c r="I48" s="175">
        <f>AVERAGE(I14:I33) - $B$6</f>
        <v/>
      </c>
      <c r="J48" s="179" t="n"/>
      <c r="K48" s="179" t="n"/>
    </row>
  </sheetData>
  <mergeCells count="10">
    <mergeCell ref="A48:H48"/>
    <mergeCell ref="A12:K12"/>
    <mergeCell ref="A4:K4"/>
    <mergeCell ref="A2:K2"/>
    <mergeCell ref="A10:K10"/>
    <mergeCell ref="A47:H47"/>
    <mergeCell ref="A45:H45"/>
    <mergeCell ref="A46:H46"/>
    <mergeCell ref="A44:K44"/>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26"/>
  <sheetViews>
    <sheetView showFormulas="0" showGridLines="0" showRowColHeaders="1" showZeros="1" rightToLeft="0" tabSelected="0" showOutlineSymbols="1" defaultGridColor="1"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20" min="1" max="1"/>
    <col width="12" customWidth="1" style="120" min="2" max="4"/>
    <col width="14" customWidth="1" style="120" min="5" max="7"/>
    <col width="36" customWidth="1" style="120" min="8" max="8"/>
  </cols>
  <sheetData>
    <row r="1" ht="19.5" customHeight="1" s="121">
      <c r="A1" s="122" t="inlineStr">
        <is>
          <t>MUTATION COSTS</t>
        </is>
      </c>
    </row>
    <row r="2" ht="15" customHeight="1" s="121">
      <c r="A2" s="123" t="inlineStr">
        <is>
          <t>SIG upgrade costs by rarity × level. Balance check at bottom: how many full runs to outfit one of each rarity.</t>
        </is>
      </c>
    </row>
    <row r="4" ht="21.75" customHeight="1" s="121">
      <c r="A4" s="129" t="inlineStr">
        <is>
          <t>DRIVER INPUTS (mirrored from Assumptions — green text)</t>
        </is>
      </c>
    </row>
    <row r="5" ht="15" customHeight="1" s="121">
      <c r="A5" s="128" t="inlineStr">
        <is>
          <t>Driver</t>
        </is>
      </c>
      <c r="B5" s="128" t="inlineStr">
        <is>
          <t>Value</t>
        </is>
      </c>
    </row>
    <row r="6" ht="15" customHeight="1" s="121">
      <c r="A6" s="145" t="inlineStr">
        <is>
          <t>sig_cost_base</t>
        </is>
      </c>
      <c r="B6" s="146">
        <f>Assumptions!$C$66</f>
        <v/>
      </c>
    </row>
    <row r="7" ht="15" customHeight="1" s="121">
      <c r="A7" s="145" t="inlineStr">
        <is>
          <t>sig_cost_level_growth</t>
        </is>
      </c>
      <c r="B7" s="163">
        <f>Assumptions!$C$67</f>
        <v/>
      </c>
    </row>
    <row r="8" ht="15" customHeight="1" s="121">
      <c r="A8" s="145" t="inlineStr">
        <is>
          <t>common_mult</t>
        </is>
      </c>
      <c r="B8" s="163">
        <f>Assumptions!$C$68</f>
        <v/>
      </c>
    </row>
    <row r="9" ht="15" customHeight="1" s="121">
      <c r="A9" s="145" t="inlineStr">
        <is>
          <t>uncommon_mult</t>
        </is>
      </c>
      <c r="B9" s="163">
        <f>Assumptions!$C$69</f>
        <v/>
      </c>
    </row>
    <row r="10" ht="15" customHeight="1" s="121">
      <c r="A10" s="145" t="inlineStr">
        <is>
          <t>rare_mult</t>
        </is>
      </c>
      <c r="B10" s="163">
        <f>Assumptions!$C$70</f>
        <v/>
      </c>
    </row>
    <row r="11" ht="15" customHeight="1" s="121">
      <c r="A11" s="145" t="inlineStr">
        <is>
          <t>epic_mult</t>
        </is>
      </c>
      <c r="B11" s="163">
        <f>Assumptions!$C$71</f>
        <v/>
      </c>
    </row>
    <row r="12" ht="15" customHeight="1" s="121">
      <c r="A12" s="145" t="inlineStr">
        <is>
          <t>mutations_slot_cap</t>
        </is>
      </c>
      <c r="B12" s="146">
        <f>Assumptions!$C$72</f>
        <v/>
      </c>
    </row>
    <row r="13" ht="15" customHeight="1" s="121">
      <c r="A13" s="145" t="inlineStr">
        <is>
          <t>total_sig_per_run</t>
        </is>
      </c>
      <c r="B13" s="163">
        <f>Currencies!$F$51</f>
        <v/>
      </c>
    </row>
    <row r="15" ht="21.75" customHeight="1" s="121">
      <c r="A15" s="129" t="inlineStr">
        <is>
          <t>SIG COST MATRIX (per upgrade)</t>
        </is>
      </c>
    </row>
    <row r="16" ht="27.75" customHeight="1" s="121">
      <c r="A16" s="128" t="inlineStr">
        <is>
          <t>Rarity</t>
        </is>
      </c>
      <c r="B16" s="128" t="inlineStr">
        <is>
          <t>Mk I cost</t>
        </is>
      </c>
      <c r="C16" s="128" t="inlineStr">
        <is>
          <t>Mk II cost</t>
        </is>
      </c>
      <c r="D16" s="128" t="inlineStr">
        <is>
          <t>Mk III cost</t>
        </is>
      </c>
      <c r="E16" s="128" t="inlineStr">
        <is>
          <t>Total to Mk III</t>
        </is>
      </c>
      <c r="F16" s="128" t="inlineStr">
        <is>
          <t>Runs needed*</t>
        </is>
      </c>
      <c r="G16" s="128" t="inlineStr">
        <is>
          <t>vs Common</t>
        </is>
      </c>
      <c r="H16" s="128" t="inlineStr">
        <is>
          <t>Notes</t>
        </is>
      </c>
    </row>
    <row r="17" ht="15" customHeight="1" s="121">
      <c r="A17" s="131" t="inlineStr">
        <is>
          <t>Common</t>
        </is>
      </c>
      <c r="B17" s="149">
        <f>ROUND($B$6*$B$8,0)</f>
        <v/>
      </c>
      <c r="C17" s="149">
        <f>ROUND($B$6*$B$8*$B$7,0)</f>
        <v/>
      </c>
      <c r="D17" s="149">
        <f>ROUND($B$6*$B$8*$B$7^2,0)</f>
        <v/>
      </c>
      <c r="E17" s="149">
        <f>B17+C17+D17</f>
        <v/>
      </c>
      <c r="F17" s="149">
        <f>CEILING(E17/$B$13,1)</f>
        <v/>
      </c>
      <c r="G17" s="164">
        <f>E17/$E$17</f>
        <v/>
      </c>
      <c r="H17" s="151" t="inlineStr">
        <is>
          <t>Reference tier.</t>
        </is>
      </c>
    </row>
    <row r="18" ht="15" customHeight="1" s="121">
      <c r="A18" s="181" t="inlineStr">
        <is>
          <t>Uncommon</t>
        </is>
      </c>
      <c r="B18" s="153">
        <f>ROUND($B$6*$B$9,0)</f>
        <v/>
      </c>
      <c r="C18" s="153">
        <f>ROUND($B$6*$B$9*$B$7,0)</f>
        <v/>
      </c>
      <c r="D18" s="153">
        <f>ROUND($B$6*$B$9*$B$7^2,0)</f>
        <v/>
      </c>
      <c r="E18" s="153">
        <f>B18+C18+D18</f>
        <v/>
      </c>
      <c r="F18" s="153">
        <f>CEILING(E18/$B$13,1)</f>
        <v/>
      </c>
      <c r="G18" s="166">
        <f>E18/$E$17</f>
        <v/>
      </c>
      <c r="H18" s="155" t="inlineStr">
        <is>
          <t>Crafted from 3 Commons + 5 Mod tokens.</t>
        </is>
      </c>
    </row>
    <row r="19" ht="15" customHeight="1" s="121">
      <c r="A19" s="131" t="inlineStr">
        <is>
          <t>Rare</t>
        </is>
      </c>
      <c r="B19" s="149">
        <f>ROUND($B$6*$B$10,0)</f>
        <v/>
      </c>
      <c r="C19" s="149">
        <f>ROUND($B$6*$B$10*$B$7,0)</f>
        <v/>
      </c>
      <c r="D19" s="149">
        <f>ROUND($B$6*$B$10*$B$7^2,0)</f>
        <v/>
      </c>
      <c r="E19" s="149">
        <f>B19+C19+D19</f>
        <v/>
      </c>
      <c r="F19" s="149">
        <f>CEILING(E19/$B$13,1)</f>
        <v/>
      </c>
      <c r="G19" s="164">
        <f>E19/$E$17</f>
        <v/>
      </c>
      <c r="H19" s="151" t="inlineStr">
        <is>
          <t>Drops from elites (10%) and bosses (60%).</t>
        </is>
      </c>
    </row>
    <row r="20" ht="15" customHeight="1" s="121">
      <c r="A20" s="181" t="inlineStr">
        <is>
          <t>Epic</t>
        </is>
      </c>
      <c r="B20" s="153">
        <f>ROUND($B$6*$B$11,0)</f>
        <v/>
      </c>
      <c r="C20" s="153">
        <f>ROUND($B$6*$B$11*$B$7,0)</f>
        <v/>
      </c>
      <c r="D20" s="153">
        <f>ROUND($B$6*$B$11*$B$7^2,0)</f>
        <v/>
      </c>
      <c r="E20" s="153">
        <f>B20+C20+D20</f>
        <v/>
      </c>
      <c r="F20" s="153">
        <f>CEILING(E20/$B$13,1)</f>
        <v/>
      </c>
      <c r="G20" s="166">
        <f>E20/$E$17</f>
        <v/>
      </c>
      <c r="H20" s="155" t="inlineStr">
        <is>
          <t>Drops from bosses only (15%). Late-game gear.</t>
        </is>
      </c>
    </row>
    <row r="21" ht="21.75" customHeight="1" s="121">
      <c r="A21" s="129" t="inlineStr">
        <is>
          <t>BALANCE CHECK</t>
        </is>
      </c>
    </row>
    <row r="22" ht="15" customHeight="1" s="121">
      <c r="A22" s="178" t="inlineStr">
        <is>
          <t>Total SIG for full kit (one of each rarity to Mk III)</t>
        </is>
      </c>
      <c r="E22" s="176">
        <f>SUM(E17:E20)</f>
        <v/>
      </c>
      <c r="F22" s="179" t="n"/>
      <c r="G22" s="179" t="n"/>
      <c r="H22" s="179" t="n"/>
    </row>
    <row r="23" ht="15" customHeight="1" s="121">
      <c r="A23" s="178" t="inlineStr">
        <is>
          <t>Runs needed for full kit</t>
        </is>
      </c>
      <c r="E23" s="179" t="n"/>
      <c r="F23" s="176">
        <f>CEILING(E22/$B$13,1)</f>
        <v/>
      </c>
      <c r="G23" s="179" t="n"/>
      <c r="H23" s="179" t="n"/>
    </row>
    <row r="24" ht="15" customHeight="1" s="121">
      <c r="A24" s="178" t="inlineStr">
        <is>
          <t>Total SIG earned per run (reference)</t>
        </is>
      </c>
      <c r="E24" s="175">
        <f>$B$13</f>
        <v/>
      </c>
      <c r="F24" s="179" t="n"/>
      <c r="G24" s="179" t="n"/>
      <c r="H24" s="179" t="n"/>
    </row>
    <row r="26" ht="31.5" customHeight="1" s="121">
      <c r="A26" s="151" t="inlineStr">
        <is>
          <t>*Runs-needed assumes the player banks ALL SIG into a single mutation, which is unrealistic. Real grind will be 2-3x higher when SIG is split across multiple mutations being leveled in parallel. Use this column as a floor, not an expectation.</t>
        </is>
      </c>
    </row>
  </sheetData>
  <mergeCells count="9">
    <mergeCell ref="A4:H4"/>
    <mergeCell ref="A23:D23"/>
    <mergeCell ref="A26:H26"/>
    <mergeCell ref="A21:H21"/>
    <mergeCell ref="A15:H15"/>
    <mergeCell ref="A22:D22"/>
    <mergeCell ref="A2:H2"/>
    <mergeCell ref="A24:D24"/>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J26"/>
  <sheetViews>
    <sheetView showFormulas="0" showGridLines="0" showRowColHeaders="1" showZeros="1" rightToLeft="0" tabSelected="0" showOutlineSymbols="1" defaultGridColor="1"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20" min="1" max="1"/>
    <col width="12" customWidth="1" style="120" min="2" max="4"/>
    <col width="14" customWidth="1" style="120" min="5" max="9"/>
    <col width="36" customWidth="1" style="120" min="10" max="10"/>
  </cols>
  <sheetData>
    <row r="1" ht="19.5" customHeight="1" s="121">
      <c r="A1" s="122" t="inlineStr">
        <is>
          <t>IAP CATALOG</t>
        </is>
      </c>
    </row>
    <row r="2" ht="15" customHeight="1" s="121">
      <c r="A2" s="123" t="inlineStr">
        <is>
          <t>Six SKUs with USD price, currency grant, and expected-value analysis. Time-saved column converts purchases to minutes of grinding eliminated.</t>
        </is>
      </c>
    </row>
    <row r="4" ht="21.75" customHeight="1" s="121">
      <c r="A4" s="129" t="inlineStr">
        <is>
          <t>DRIVER INPUTS (mirrored — green text)</t>
        </is>
      </c>
    </row>
    <row r="5" ht="15" customHeight="1" s="121">
      <c r="A5" s="128" t="inlineStr">
        <is>
          <t>Driver</t>
        </is>
      </c>
      <c r="B5" s="128" t="inlineStr">
        <is>
          <t>Value</t>
        </is>
      </c>
    </row>
    <row r="6" ht="15" customHeight="1" s="121">
      <c r="A6" s="145" t="inlineStr">
        <is>
          <t>total_vein_per_run</t>
        </is>
      </c>
      <c r="B6" s="146">
        <f>Currencies!$E$50</f>
        <v/>
      </c>
    </row>
    <row r="7" ht="15" customHeight="1" s="121">
      <c r="A7" s="145" t="inlineStr">
        <is>
          <t>total_shards_per_run</t>
        </is>
      </c>
      <c r="B7" s="163">
        <f>Currencies!$I$52</f>
        <v/>
      </c>
    </row>
    <row r="8" ht="15" customHeight="1" s="121">
      <c r="A8" s="145" t="inlineStr">
        <is>
          <t>total_run_min</t>
        </is>
      </c>
      <c r="B8" s="163">
        <f>'Run Pacing'!$I$45</f>
        <v/>
      </c>
    </row>
    <row r="9" ht="15" customHeight="1" s="121">
      <c r="A9" s="145" t="inlineStr">
        <is>
          <t>target_arppu_usd</t>
        </is>
      </c>
      <c r="B9" s="182">
        <f>Assumptions!$C$88</f>
        <v/>
      </c>
    </row>
    <row r="10" ht="15" customHeight="1" s="121">
      <c r="A10" s="145" t="inlineStr">
        <is>
          <t>target_conversion</t>
        </is>
      </c>
      <c r="B10" s="147">
        <f>Assumptions!$C$89</f>
        <v/>
      </c>
    </row>
    <row r="11" ht="15" customHeight="1" s="121">
      <c r="A11" s="145" t="inlineStr">
        <is>
          <t>VEIN earned per minute (derived)</t>
        </is>
      </c>
      <c r="B11" s="164">
        <f>$B$6/$B$8</f>
        <v/>
      </c>
    </row>
    <row r="12" ht="15" customHeight="1" s="121">
      <c r="A12" s="145" t="inlineStr">
        <is>
          <t>Shards earned per minute (derived)</t>
        </is>
      </c>
      <c r="B12" s="150">
        <f>$B$7/$B$8</f>
        <v/>
      </c>
    </row>
    <row r="14" ht="21.75" customHeight="1" s="121">
      <c r="A14" s="129" t="inlineStr">
        <is>
          <t>PRODUCT CATALOG</t>
        </is>
      </c>
    </row>
    <row r="15" ht="27.75" customHeight="1" s="121">
      <c r="A15" s="128" t="inlineStr">
        <is>
          <t>SKU</t>
        </is>
      </c>
      <c r="B15" s="128" t="inlineStr">
        <is>
          <t>Type</t>
        </is>
      </c>
      <c r="C15" s="128" t="inlineStr">
        <is>
          <t>USD</t>
        </is>
      </c>
      <c r="D15" s="128" t="inlineStr">
        <is>
          <t>VEIN</t>
        </is>
      </c>
      <c r="E15" s="128" t="inlineStr">
        <is>
          <t>Shards</t>
        </is>
      </c>
      <c r="F15" s="128" t="inlineStr">
        <is>
          <t>$ per VEIN</t>
        </is>
      </c>
      <c r="G15" s="128" t="inlineStr">
        <is>
          <t>$ per Shard</t>
        </is>
      </c>
      <c r="H15" s="128" t="inlineStr">
        <is>
          <t>Minutes saved</t>
        </is>
      </c>
      <c r="I15" s="128" t="inlineStr">
        <is>
          <t>Value rating</t>
        </is>
      </c>
      <c r="J15" s="128" t="inlineStr">
        <is>
          <t>Notes</t>
        </is>
      </c>
    </row>
    <row r="16" ht="15" customHeight="1" s="121">
      <c r="A16" s="181" t="inlineStr">
        <is>
          <t>VEIN Pack — Small</t>
        </is>
      </c>
      <c r="B16" s="173" t="inlineStr">
        <is>
          <t>VEIN</t>
        </is>
      </c>
      <c r="C16" s="183">
        <f>Assumptions!$C$75</f>
        <v/>
      </c>
      <c r="D16" s="174">
        <f>Assumptions!$C$76</f>
        <v/>
      </c>
      <c r="E16" s="157" t="inlineStr">
        <is>
          <t>—</t>
        </is>
      </c>
      <c r="F16" s="184">
        <f>C16/D16</f>
        <v/>
      </c>
      <c r="G16" s="157" t="inlineStr">
        <is>
          <t>—</t>
        </is>
      </c>
      <c r="H16" s="153">
        <f>D16/$B$11</f>
        <v/>
      </c>
      <c r="I16" s="167">
        <f>IF(H16/C16&gt;=30,"Strong",IF(H16/C16&gt;=10,"Fair","Weak"))</f>
        <v/>
      </c>
      <c r="J16" s="155" t="inlineStr">
        <is>
          <t>Entry-level impulse purchase.</t>
        </is>
      </c>
    </row>
    <row r="17" ht="15" customHeight="1" s="121">
      <c r="A17" s="131" t="inlineStr">
        <is>
          <t>VEIN Pack — Medium</t>
        </is>
      </c>
      <c r="B17" s="172" t="inlineStr">
        <is>
          <t>VEIN</t>
        </is>
      </c>
      <c r="C17" s="182">
        <f>Assumptions!$C$77</f>
        <v/>
      </c>
      <c r="D17" s="146">
        <f>Assumptions!$C$78</f>
        <v/>
      </c>
      <c r="E17" s="185" t="inlineStr">
        <is>
          <t>—</t>
        </is>
      </c>
      <c r="F17" s="186">
        <f>C17/D17</f>
        <v/>
      </c>
      <c r="G17" s="185" t="inlineStr">
        <is>
          <t>—</t>
        </is>
      </c>
      <c r="H17" s="149">
        <f>D17/$B$11</f>
        <v/>
      </c>
      <c r="I17" s="165">
        <f>IF(H17/C17&gt;=30,"Strong",IF(H17/C17&gt;=10,"Fair","Weak"))</f>
        <v/>
      </c>
      <c r="J17" s="151" t="inlineStr">
        <is>
          <t>20% bulk bonus. The 'recommended' sticker goes here.</t>
        </is>
      </c>
    </row>
    <row r="18" ht="15" customHeight="1" s="121">
      <c r="A18" s="181" t="inlineStr">
        <is>
          <t>VEIN Pack — Large</t>
        </is>
      </c>
      <c r="B18" s="173" t="inlineStr">
        <is>
          <t>VEIN</t>
        </is>
      </c>
      <c r="C18" s="183">
        <f>Assumptions!$C$79</f>
        <v/>
      </c>
      <c r="D18" s="174">
        <f>Assumptions!$C$80</f>
        <v/>
      </c>
      <c r="E18" s="157" t="inlineStr">
        <is>
          <t>—</t>
        </is>
      </c>
      <c r="F18" s="184">
        <f>C18/D18</f>
        <v/>
      </c>
      <c r="G18" s="157" t="inlineStr">
        <is>
          <t>—</t>
        </is>
      </c>
      <c r="H18" s="153">
        <f>D18/$B$11</f>
        <v/>
      </c>
      <c r="I18" s="167">
        <f>IF(H18/C18&gt;=30,"Strong",IF(H18/C18&gt;=10,"Fair","Weak"))</f>
        <v/>
      </c>
      <c r="J18" s="155" t="inlineStr">
        <is>
          <t>Whale tier. 50% bulk bonus.</t>
        </is>
      </c>
    </row>
    <row r="19" ht="15" customHeight="1" s="121">
      <c r="A19" s="131" t="inlineStr">
        <is>
          <t>Shard Pack — Small</t>
        </is>
      </c>
      <c r="B19" s="172" t="inlineStr">
        <is>
          <t>Shard</t>
        </is>
      </c>
      <c r="C19" s="182">
        <f>Assumptions!$C$81</f>
        <v/>
      </c>
      <c r="D19" s="185" t="inlineStr">
        <is>
          <t>—</t>
        </is>
      </c>
      <c r="E19" s="146">
        <f>Assumptions!$C$82</f>
        <v/>
      </c>
      <c r="F19" s="185" t="inlineStr">
        <is>
          <t>—</t>
        </is>
      </c>
      <c r="G19" s="186">
        <f>C19/E19</f>
        <v/>
      </c>
      <c r="H19" s="149">
        <f>E19/$B$12</f>
        <v/>
      </c>
      <c r="I19" s="165">
        <f>IF(H19/C19&gt;=30,"Strong",IF(H19/C19&gt;=10,"Fair","Weak"))</f>
        <v/>
      </c>
      <c r="J19" s="151" t="inlineStr">
        <is>
          <t>Premium-currency entry tier.</t>
        </is>
      </c>
    </row>
    <row r="20" ht="15" customHeight="1" s="121">
      <c r="A20" s="181" t="inlineStr">
        <is>
          <t>Shard Pack — Large</t>
        </is>
      </c>
      <c r="B20" s="173" t="inlineStr">
        <is>
          <t>Shard</t>
        </is>
      </c>
      <c r="C20" s="183">
        <f>Assumptions!$C$83</f>
        <v/>
      </c>
      <c r="D20" s="157" t="inlineStr">
        <is>
          <t>—</t>
        </is>
      </c>
      <c r="E20" s="174">
        <f>Assumptions!$C$84</f>
        <v/>
      </c>
      <c r="F20" s="157" t="inlineStr">
        <is>
          <t>—</t>
        </is>
      </c>
      <c r="G20" s="184">
        <f>C20/E20</f>
        <v/>
      </c>
      <c r="H20" s="153">
        <f>E20/$B$12</f>
        <v/>
      </c>
      <c r="I20" s="167">
        <f>IF(H20/C20&gt;=30,"Strong",IF(H20/C20&gt;=10,"Fair","Weak"))</f>
        <v/>
      </c>
      <c r="J20" s="155" t="inlineStr">
        <is>
          <t>Premium-currency whale tier. 20% bulk bonus.</t>
        </is>
      </c>
    </row>
    <row r="21" ht="15" customHeight="1" s="121">
      <c r="A21" s="131" t="inlineStr">
        <is>
          <t>Deep Signal Pass</t>
        </is>
      </c>
      <c r="B21" s="172" t="inlineStr">
        <is>
          <t>Pass</t>
        </is>
      </c>
      <c r="C21" s="182">
        <f>Assumptions!$C$85</f>
        <v/>
      </c>
      <c r="D21" s="146">
        <f>Assumptions!$C$86</f>
        <v/>
      </c>
      <c r="E21" s="146">
        <f>Assumptions!$C$87</f>
        <v/>
      </c>
      <c r="F21" s="186">
        <f>C21/D21</f>
        <v/>
      </c>
      <c r="G21" s="186">
        <f>C21/E21</f>
        <v/>
      </c>
      <c r="H21" s="149">
        <f>D21/$B$11+E21/$B$12</f>
        <v/>
      </c>
      <c r="I21" s="165">
        <f>IF(H21/C21&gt;=30,"Strong",IF(H21/C21&gt;=10,"Fair","Weak"))</f>
        <v/>
      </c>
      <c r="J21" s="151" t="inlineStr">
        <is>
          <t>30-day battle pass. Combined VEIN + Shard grant + cosmetics (not modeled in $ value).</t>
        </is>
      </c>
    </row>
    <row r="22" ht="21.75" customHeight="1" s="121">
      <c r="A22" s="129" t="inlineStr">
        <is>
          <t>CATALOG SUMMARY</t>
        </is>
      </c>
    </row>
    <row r="23" ht="15" customHeight="1" s="121">
      <c r="A23" s="178" t="inlineStr">
        <is>
          <t>Cheapest entry point (USD)</t>
        </is>
      </c>
      <c r="C23" s="187">
        <f>MIN(C16:C21)</f>
        <v/>
      </c>
      <c r="D23" s="179" t="n"/>
      <c r="E23" s="179" t="n"/>
      <c r="F23" s="179" t="n"/>
      <c r="G23" s="179" t="n"/>
      <c r="H23" s="179" t="n"/>
      <c r="I23" s="179" t="n"/>
      <c r="J23" s="179" t="n"/>
    </row>
    <row r="24" ht="15" customHeight="1" s="121">
      <c r="A24" s="178" t="inlineStr">
        <is>
          <t>Highest-tier purchase (USD)</t>
        </is>
      </c>
      <c r="C24" s="187">
        <f>MAX(C16:C21)</f>
        <v/>
      </c>
      <c r="D24" s="179" t="n"/>
      <c r="E24" s="179" t="n"/>
      <c r="F24" s="179" t="n"/>
      <c r="G24" s="179" t="n"/>
      <c r="H24" s="179" t="n"/>
      <c r="I24" s="179" t="n"/>
      <c r="J24" s="179" t="n"/>
    </row>
    <row r="25" ht="15" customHeight="1" s="121">
      <c r="A25" s="178" t="inlineStr">
        <is>
          <t>Average price (USD)</t>
        </is>
      </c>
      <c r="C25" s="187">
        <f>AVERAGE(C16:C21)</f>
        <v/>
      </c>
      <c r="D25" s="179" t="n"/>
      <c r="E25" s="179" t="n"/>
      <c r="F25" s="179" t="n"/>
      <c r="G25" s="179" t="n"/>
      <c r="H25" s="179" t="n"/>
      <c r="I25" s="179" t="n"/>
      <c r="J25" s="179" t="n"/>
    </row>
    <row r="26" ht="15" customHeight="1" s="121">
      <c r="A26" s="178" t="inlineStr">
        <is>
          <t>Median price (USD) — feeds ARPPU calc in Revenue</t>
        </is>
      </c>
      <c r="C26" s="187">
        <f>MEDIAN(C16:C21)</f>
        <v/>
      </c>
      <c r="D26" s="179" t="n"/>
      <c r="E26" s="179" t="n"/>
      <c r="F26" s="179" t="n"/>
      <c r="G26" s="179" t="n"/>
      <c r="H26" s="179" t="n"/>
      <c r="I26" s="179" t="n"/>
      <c r="J26" s="179" t="n"/>
    </row>
  </sheetData>
  <mergeCells count="9">
    <mergeCell ref="A26:B26"/>
    <mergeCell ref="A1:J1"/>
    <mergeCell ref="A24:B24"/>
    <mergeCell ref="A14:J14"/>
    <mergeCell ref="A25:B25"/>
    <mergeCell ref="A22:J22"/>
    <mergeCell ref="A2:J2"/>
    <mergeCell ref="A4:J4"/>
    <mergeCell ref="A23:B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N41"/>
  <sheetViews>
    <sheetView showFormulas="0" showGridLines="0" showRowColHeaders="1" showZeros="1" rightToLeft="0" tabSelected="0" showOutlineSymbols="1" defaultGridColor="1"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baseColWidth="8" defaultColWidth="8.6796875" defaultRowHeight="15" zeroHeight="0" outlineLevelRow="0"/>
  <cols>
    <col width="38" customWidth="1" style="120" min="1" max="1"/>
    <col width="11" customWidth="1" style="120" min="2" max="13"/>
    <col width="14" customWidth="1" style="120" min="14" max="14"/>
  </cols>
  <sheetData>
    <row r="1" ht="19.5" customHeight="1" s="121">
      <c r="A1" s="122" t="inlineStr">
        <is>
          <t>DAU &amp; REVENUE MODEL</t>
        </is>
      </c>
    </row>
    <row r="2" ht="15" customHeight="1" s="121">
      <c r="A2" s="123" t="inlineStr">
        <is>
          <t>12-month projection across three scenarios. DAU grows geometrically from starting value; revenue = DAU × conversion × ARPPU × (1 − platform cut).</t>
        </is>
      </c>
    </row>
    <row r="4" ht="21.75" customHeight="1" s="121">
      <c r="A4" s="129" t="inlineStr">
        <is>
          <t>DRIVER INPUTS (mirrored from Assumptions — green text)</t>
        </is>
      </c>
    </row>
    <row r="5" ht="27.75" customHeight="1" s="121">
      <c r="A5" s="128" t="inlineStr">
        <is>
          <t>Driver</t>
        </is>
      </c>
      <c r="B5" s="128" t="inlineStr">
        <is>
          <t>Pessimistic</t>
        </is>
      </c>
      <c r="C5" s="128" t="inlineStr">
        <is>
          <t>Conservative</t>
        </is>
      </c>
      <c r="D5" s="128" t="inlineStr">
        <is>
          <t>Target</t>
        </is>
      </c>
      <c r="E5" s="128" t="n"/>
      <c r="F5" s="128" t="n"/>
      <c r="G5" s="128" t="n"/>
      <c r="H5" s="128" t="n"/>
      <c r="I5" s="128" t="n"/>
      <c r="J5" s="128" t="n"/>
      <c r="K5" s="128" t="n"/>
      <c r="L5" s="128" t="n"/>
      <c r="M5" s="128" t="n"/>
      <c r="N5" s="128" t="inlineStr">
        <is>
          <t>Notes</t>
        </is>
      </c>
    </row>
    <row r="6" ht="15" customHeight="1" s="121">
      <c r="A6" s="131" t="inlineStr">
        <is>
          <t>Starting DAU (M1)</t>
        </is>
      </c>
      <c r="B6" s="146">
        <f>Assumptions!$C$92</f>
        <v/>
      </c>
      <c r="C6" s="146">
        <f>Assumptions!$C$96</f>
        <v/>
      </c>
      <c r="D6" s="146">
        <f>Assumptions!$C$100</f>
        <v/>
      </c>
    </row>
    <row r="7" ht="15" customHeight="1" s="121">
      <c r="A7" s="131" t="inlineStr">
        <is>
          <t>MoM DAU growth</t>
        </is>
      </c>
      <c r="B7" s="147">
        <f>Assumptions!$C$93</f>
        <v/>
      </c>
      <c r="C7" s="147">
        <f>Assumptions!$C$97</f>
        <v/>
      </c>
      <c r="D7" s="147">
        <f>Assumptions!$C$101</f>
        <v/>
      </c>
    </row>
    <row r="8" ht="15" customHeight="1" s="121">
      <c r="A8" s="131" t="inlineStr">
        <is>
          <t>Conversion (free→paying)</t>
        </is>
      </c>
      <c r="B8" s="147">
        <f>Assumptions!$C$94</f>
        <v/>
      </c>
      <c r="C8" s="147">
        <f>Assumptions!$C$98</f>
        <v/>
      </c>
      <c r="D8" s="147">
        <f>Assumptions!$C$102</f>
        <v/>
      </c>
    </row>
    <row r="9" ht="15" customHeight="1" s="121">
      <c r="A9" s="131" t="inlineStr">
        <is>
          <t>Monthly ARPPU</t>
        </is>
      </c>
      <c r="B9" s="182">
        <f>Assumptions!$C$95</f>
        <v/>
      </c>
      <c r="C9" s="182">
        <f>Assumptions!$C$99</f>
        <v/>
      </c>
      <c r="D9" s="182">
        <f>Assumptions!$C$103</f>
        <v/>
      </c>
    </row>
    <row r="10" ht="15" customHeight="1" s="121">
      <c r="A10" s="131" t="inlineStr">
        <is>
          <t>Platform cut</t>
        </is>
      </c>
      <c r="B10" s="161">
        <f>Assumptions!$C$104</f>
        <v/>
      </c>
      <c r="C10" s="161">
        <f>Assumptions!$C$104</f>
        <v/>
      </c>
      <c r="D10" s="161">
        <f>Assumptions!$C$104</f>
        <v/>
      </c>
    </row>
    <row r="12" ht="27.75" customHeight="1" s="121">
      <c r="A12" s="128" t="inlineStr">
        <is>
          <t>Metric</t>
        </is>
      </c>
      <c r="B12" s="128" t="inlineStr">
        <is>
          <t>M1</t>
        </is>
      </c>
      <c r="C12" s="128" t="inlineStr">
        <is>
          <t>M2</t>
        </is>
      </c>
      <c r="D12" s="128" t="inlineStr">
        <is>
          <t>M3</t>
        </is>
      </c>
      <c r="E12" s="128" t="inlineStr">
        <is>
          <t>M4</t>
        </is>
      </c>
      <c r="F12" s="128" t="inlineStr">
        <is>
          <t>M5</t>
        </is>
      </c>
      <c r="G12" s="128" t="inlineStr">
        <is>
          <t>M6</t>
        </is>
      </c>
      <c r="H12" s="128" t="inlineStr">
        <is>
          <t>M7</t>
        </is>
      </c>
      <c r="I12" s="128" t="inlineStr">
        <is>
          <t>M8</t>
        </is>
      </c>
      <c r="J12" s="128" t="inlineStr">
        <is>
          <t>M9</t>
        </is>
      </c>
      <c r="K12" s="128" t="inlineStr">
        <is>
          <t>M10</t>
        </is>
      </c>
      <c r="L12" s="128" t="inlineStr">
        <is>
          <t>M11</t>
        </is>
      </c>
      <c r="M12" s="128" t="inlineStr">
        <is>
          <t>M12</t>
        </is>
      </c>
      <c r="N12" s="128" t="inlineStr">
        <is>
          <t>12-mo Total</t>
        </is>
      </c>
    </row>
    <row r="13" ht="21.75" customHeight="1" s="121">
      <c r="A13" s="188" t="inlineStr">
        <is>
          <t>PESSIMISTIC SCENARIO</t>
        </is>
      </c>
    </row>
    <row r="14" ht="15" customHeight="1" s="121">
      <c r="A14" s="189" t="inlineStr">
        <is>
          <t>DAU</t>
        </is>
      </c>
      <c r="B14" s="190">
        <f>ROUND($B$6*(1+$B$7)^(1-1),0)</f>
        <v/>
      </c>
      <c r="C14" s="190">
        <f>ROUND($B$6*(1+$B$7)^(2-1),0)</f>
        <v/>
      </c>
      <c r="D14" s="190">
        <f>ROUND($B$6*(1+$B$7)^(3-1),0)</f>
        <v/>
      </c>
      <c r="E14" s="190">
        <f>ROUND($B$6*(1+$B$7)^(4-1),0)</f>
        <v/>
      </c>
      <c r="F14" s="190">
        <f>ROUND($B$6*(1+$B$7)^(5-1),0)</f>
        <v/>
      </c>
      <c r="G14" s="190">
        <f>ROUND($B$6*(1+$B$7)^(6-1),0)</f>
        <v/>
      </c>
      <c r="H14" s="190">
        <f>ROUND($B$6*(1+$B$7)^(7-1),0)</f>
        <v/>
      </c>
      <c r="I14" s="190">
        <f>ROUND($B$6*(1+$B$7)^(8-1),0)</f>
        <v/>
      </c>
      <c r="J14" s="190">
        <f>ROUND($B$6*(1+$B$7)^(9-1),0)</f>
        <v/>
      </c>
      <c r="K14" s="190">
        <f>ROUND($B$6*(1+$B$7)^(10-1),0)</f>
        <v/>
      </c>
      <c r="L14" s="190">
        <f>ROUND($B$6*(1+$B$7)^(11-1),0)</f>
        <v/>
      </c>
      <c r="M14" s="190">
        <f>ROUND($B$6*(1+$B$7)^(12-1),0)</f>
        <v/>
      </c>
      <c r="N14" s="191">
        <f>SUM(B14:M14)</f>
        <v/>
      </c>
    </row>
    <row r="15" ht="15" customHeight="1" s="121">
      <c r="A15" s="189" t="inlineStr">
        <is>
          <t>Paying users</t>
        </is>
      </c>
      <c r="B15" s="190">
        <f>ROUND(B14*$B$8,0)</f>
        <v/>
      </c>
      <c r="C15" s="190">
        <f>ROUND(C14*$B$8,0)</f>
        <v/>
      </c>
      <c r="D15" s="190">
        <f>ROUND(D14*$B$8,0)</f>
        <v/>
      </c>
      <c r="E15" s="190">
        <f>ROUND(E14*$B$8,0)</f>
        <v/>
      </c>
      <c r="F15" s="190">
        <f>ROUND(F14*$B$8,0)</f>
        <v/>
      </c>
      <c r="G15" s="190">
        <f>ROUND(G14*$B$8,0)</f>
        <v/>
      </c>
      <c r="H15" s="190">
        <f>ROUND(H14*$B$8,0)</f>
        <v/>
      </c>
      <c r="I15" s="190">
        <f>ROUND(I14*$B$8,0)</f>
        <v/>
      </c>
      <c r="J15" s="190">
        <f>ROUND(J14*$B$8,0)</f>
        <v/>
      </c>
      <c r="K15" s="190">
        <f>ROUND(K14*$B$8,0)</f>
        <v/>
      </c>
      <c r="L15" s="190">
        <f>ROUND(L14*$B$8,0)</f>
        <v/>
      </c>
      <c r="M15" s="190">
        <f>ROUND(M14*$B$8,0)</f>
        <v/>
      </c>
      <c r="N15" s="191">
        <f>SUM(B15:M15)</f>
        <v/>
      </c>
    </row>
    <row r="16" ht="15" customHeight="1" s="121">
      <c r="A16" s="189" t="inlineStr">
        <is>
          <t>Gross revenue (USD)</t>
        </is>
      </c>
      <c r="B16" s="192">
        <f>B15*$B$9</f>
        <v/>
      </c>
      <c r="C16" s="192">
        <f>C15*$B$9</f>
        <v/>
      </c>
      <c r="D16" s="192">
        <f>D15*$B$9</f>
        <v/>
      </c>
      <c r="E16" s="192">
        <f>E15*$B$9</f>
        <v/>
      </c>
      <c r="F16" s="192">
        <f>F15*$B$9</f>
        <v/>
      </c>
      <c r="G16" s="192">
        <f>G15*$B$9</f>
        <v/>
      </c>
      <c r="H16" s="192">
        <f>H15*$B$9</f>
        <v/>
      </c>
      <c r="I16" s="192">
        <f>I15*$B$9</f>
        <v/>
      </c>
      <c r="J16" s="192">
        <f>J15*$B$9</f>
        <v/>
      </c>
      <c r="K16" s="192">
        <f>K15*$B$9</f>
        <v/>
      </c>
      <c r="L16" s="192">
        <f>L15*$B$9</f>
        <v/>
      </c>
      <c r="M16" s="192">
        <f>M15*$B$9</f>
        <v/>
      </c>
      <c r="N16" s="193">
        <f>SUM(B16:M16)</f>
        <v/>
      </c>
    </row>
    <row r="17" ht="15" customHeight="1" s="121">
      <c r="A17" s="189" t="inlineStr">
        <is>
          <t>Platform cut (USD)</t>
        </is>
      </c>
      <c r="B17" s="192">
        <f>B16*$B$10</f>
        <v/>
      </c>
      <c r="C17" s="192">
        <f>C16*$B$10</f>
        <v/>
      </c>
      <c r="D17" s="192">
        <f>D16*$B$10</f>
        <v/>
      </c>
      <c r="E17" s="192">
        <f>E16*$B$10</f>
        <v/>
      </c>
      <c r="F17" s="192">
        <f>F16*$B$10</f>
        <v/>
      </c>
      <c r="G17" s="192">
        <f>G16*$B$10</f>
        <v/>
      </c>
      <c r="H17" s="192">
        <f>H16*$B$10</f>
        <v/>
      </c>
      <c r="I17" s="192">
        <f>I16*$B$10</f>
        <v/>
      </c>
      <c r="J17" s="192">
        <f>J16*$B$10</f>
        <v/>
      </c>
      <c r="K17" s="192">
        <f>K16*$B$10</f>
        <v/>
      </c>
      <c r="L17" s="192">
        <f>L16*$B$10</f>
        <v/>
      </c>
      <c r="M17" s="192">
        <f>M16*$B$10</f>
        <v/>
      </c>
      <c r="N17" s="193">
        <f>SUM(B17:M17)</f>
        <v/>
      </c>
    </row>
    <row r="18" ht="15" customHeight="1" s="121">
      <c r="A18" s="189" t="inlineStr">
        <is>
          <t>Net revenue (USD)</t>
        </is>
      </c>
      <c r="B18" s="192">
        <f>B16-B17</f>
        <v/>
      </c>
      <c r="C18" s="192">
        <f>C16-C17</f>
        <v/>
      </c>
      <c r="D18" s="192">
        <f>D16-D17</f>
        <v/>
      </c>
      <c r="E18" s="192">
        <f>E16-E17</f>
        <v/>
      </c>
      <c r="F18" s="192">
        <f>F16-F17</f>
        <v/>
      </c>
      <c r="G18" s="192">
        <f>G16-G17</f>
        <v/>
      </c>
      <c r="H18" s="192">
        <f>H16-H17</f>
        <v/>
      </c>
      <c r="I18" s="192">
        <f>I16-I17</f>
        <v/>
      </c>
      <c r="J18" s="192">
        <f>J16-J17</f>
        <v/>
      </c>
      <c r="K18" s="192">
        <f>K16-K17</f>
        <v/>
      </c>
      <c r="L18" s="192">
        <f>L16-L17</f>
        <v/>
      </c>
      <c r="M18" s="192">
        <f>M16-M17</f>
        <v/>
      </c>
      <c r="N18" s="193">
        <f>SUM(B18:M18)</f>
        <v/>
      </c>
    </row>
    <row r="19" ht="15" customHeight="1" s="121">
      <c r="A19" s="189" t="inlineStr">
        <is>
          <t>Cumulative net rev (USD)</t>
        </is>
      </c>
      <c r="B19" s="192">
        <f>B18</f>
        <v/>
      </c>
      <c r="C19" s="192">
        <f>B19+C18</f>
        <v/>
      </c>
      <c r="D19" s="192">
        <f>C19+D18</f>
        <v/>
      </c>
      <c r="E19" s="192">
        <f>D19+E18</f>
        <v/>
      </c>
      <c r="F19" s="192">
        <f>E19+F18</f>
        <v/>
      </c>
      <c r="G19" s="192">
        <f>F19+G18</f>
        <v/>
      </c>
      <c r="H19" s="192">
        <f>G19+H18</f>
        <v/>
      </c>
      <c r="I19" s="192">
        <f>H19+I18</f>
        <v/>
      </c>
      <c r="J19" s="192">
        <f>I19+J18</f>
        <v/>
      </c>
      <c r="K19" s="192">
        <f>J19+K18</f>
        <v/>
      </c>
      <c r="L19" s="192">
        <f>K19+L18</f>
        <v/>
      </c>
      <c r="M19" s="192">
        <f>L19+M18</f>
        <v/>
      </c>
      <c r="N19" s="193">
        <f>M19</f>
        <v/>
      </c>
    </row>
    <row r="21" ht="21.75" customHeight="1" s="121">
      <c r="A21" s="194" t="inlineStr">
        <is>
          <t>CONSERVATIVE SCENARIO</t>
        </is>
      </c>
    </row>
    <row r="22" ht="15" customHeight="1" s="121">
      <c r="A22" s="195" t="inlineStr">
        <is>
          <t>DAU</t>
        </is>
      </c>
      <c r="B22" s="196">
        <f>ROUND($C$6*(1+$C$7)^(1-1),0)</f>
        <v/>
      </c>
      <c r="C22" s="196">
        <f>ROUND($C$6*(1+$C$7)^(2-1),0)</f>
        <v/>
      </c>
      <c r="D22" s="196">
        <f>ROUND($C$6*(1+$C$7)^(3-1),0)</f>
        <v/>
      </c>
      <c r="E22" s="196">
        <f>ROUND($C$6*(1+$C$7)^(4-1),0)</f>
        <v/>
      </c>
      <c r="F22" s="196">
        <f>ROUND($C$6*(1+$C$7)^(5-1),0)</f>
        <v/>
      </c>
      <c r="G22" s="196">
        <f>ROUND($C$6*(1+$C$7)^(6-1),0)</f>
        <v/>
      </c>
      <c r="H22" s="196">
        <f>ROUND($C$6*(1+$C$7)^(7-1),0)</f>
        <v/>
      </c>
      <c r="I22" s="196">
        <f>ROUND($C$6*(1+$C$7)^(8-1),0)</f>
        <v/>
      </c>
      <c r="J22" s="196">
        <f>ROUND($C$6*(1+$C$7)^(9-1),0)</f>
        <v/>
      </c>
      <c r="K22" s="196">
        <f>ROUND($C$6*(1+$C$7)^(10-1),0)</f>
        <v/>
      </c>
      <c r="L22" s="196">
        <f>ROUND($C$6*(1+$C$7)^(11-1),0)</f>
        <v/>
      </c>
      <c r="M22" s="196">
        <f>ROUND($C$6*(1+$C$7)^(12-1),0)</f>
        <v/>
      </c>
      <c r="N22" s="197">
        <f>SUM(B22:M22)</f>
        <v/>
      </c>
    </row>
    <row r="23" ht="15" customHeight="1" s="121">
      <c r="A23" s="195" t="inlineStr">
        <is>
          <t>Paying users</t>
        </is>
      </c>
      <c r="B23" s="196">
        <f>ROUND(B22*$C$8,0)</f>
        <v/>
      </c>
      <c r="C23" s="196">
        <f>ROUND(C22*$C$8,0)</f>
        <v/>
      </c>
      <c r="D23" s="196">
        <f>ROUND(D22*$C$8,0)</f>
        <v/>
      </c>
      <c r="E23" s="196">
        <f>ROUND(E22*$C$8,0)</f>
        <v/>
      </c>
      <c r="F23" s="196">
        <f>ROUND(F22*$C$8,0)</f>
        <v/>
      </c>
      <c r="G23" s="196">
        <f>ROUND(G22*$C$8,0)</f>
        <v/>
      </c>
      <c r="H23" s="196">
        <f>ROUND(H22*$C$8,0)</f>
        <v/>
      </c>
      <c r="I23" s="196">
        <f>ROUND(I22*$C$8,0)</f>
        <v/>
      </c>
      <c r="J23" s="196">
        <f>ROUND(J22*$C$8,0)</f>
        <v/>
      </c>
      <c r="K23" s="196">
        <f>ROUND(K22*$C$8,0)</f>
        <v/>
      </c>
      <c r="L23" s="196">
        <f>ROUND(L22*$C$8,0)</f>
        <v/>
      </c>
      <c r="M23" s="196">
        <f>ROUND(M22*$C$8,0)</f>
        <v/>
      </c>
      <c r="N23" s="197">
        <f>SUM(B23:M23)</f>
        <v/>
      </c>
    </row>
    <row r="24" ht="15" customHeight="1" s="121">
      <c r="A24" s="195" t="inlineStr">
        <is>
          <t>Gross revenue (USD)</t>
        </is>
      </c>
      <c r="B24" s="198">
        <f>B23*$C$9</f>
        <v/>
      </c>
      <c r="C24" s="198">
        <f>C23*$C$9</f>
        <v/>
      </c>
      <c r="D24" s="198">
        <f>D23*$C$9</f>
        <v/>
      </c>
      <c r="E24" s="198">
        <f>E23*$C$9</f>
        <v/>
      </c>
      <c r="F24" s="198">
        <f>F23*$C$9</f>
        <v/>
      </c>
      <c r="G24" s="198">
        <f>G23*$C$9</f>
        <v/>
      </c>
      <c r="H24" s="198">
        <f>H23*$C$9</f>
        <v/>
      </c>
      <c r="I24" s="198">
        <f>I23*$C$9</f>
        <v/>
      </c>
      <c r="J24" s="198">
        <f>J23*$C$9</f>
        <v/>
      </c>
      <c r="K24" s="198">
        <f>K23*$C$9</f>
        <v/>
      </c>
      <c r="L24" s="198">
        <f>L23*$C$9</f>
        <v/>
      </c>
      <c r="M24" s="198">
        <f>M23*$C$9</f>
        <v/>
      </c>
      <c r="N24" s="199">
        <f>SUM(B24:M24)</f>
        <v/>
      </c>
    </row>
    <row r="25" ht="15" customHeight="1" s="121">
      <c r="A25" s="195" t="inlineStr">
        <is>
          <t>Platform cut (USD)</t>
        </is>
      </c>
      <c r="B25" s="198">
        <f>B24*$C$10</f>
        <v/>
      </c>
      <c r="C25" s="198">
        <f>C24*$C$10</f>
        <v/>
      </c>
      <c r="D25" s="198">
        <f>D24*$C$10</f>
        <v/>
      </c>
      <c r="E25" s="198">
        <f>E24*$C$10</f>
        <v/>
      </c>
      <c r="F25" s="198">
        <f>F24*$C$10</f>
        <v/>
      </c>
      <c r="G25" s="198">
        <f>G24*$C$10</f>
        <v/>
      </c>
      <c r="H25" s="198">
        <f>H24*$C$10</f>
        <v/>
      </c>
      <c r="I25" s="198">
        <f>I24*$C$10</f>
        <v/>
      </c>
      <c r="J25" s="198">
        <f>J24*$C$10</f>
        <v/>
      </c>
      <c r="K25" s="198">
        <f>K24*$C$10</f>
        <v/>
      </c>
      <c r="L25" s="198">
        <f>L24*$C$10</f>
        <v/>
      </c>
      <c r="M25" s="198">
        <f>M24*$C$10</f>
        <v/>
      </c>
      <c r="N25" s="199">
        <f>SUM(B25:M25)</f>
        <v/>
      </c>
    </row>
    <row r="26" ht="15" customHeight="1" s="121">
      <c r="A26" s="195" t="inlineStr">
        <is>
          <t>Net revenue (USD)</t>
        </is>
      </c>
      <c r="B26" s="198">
        <f>B24-B25</f>
        <v/>
      </c>
      <c r="C26" s="198">
        <f>C24-C25</f>
        <v/>
      </c>
      <c r="D26" s="198">
        <f>D24-D25</f>
        <v/>
      </c>
      <c r="E26" s="198">
        <f>E24-E25</f>
        <v/>
      </c>
      <c r="F26" s="198">
        <f>F24-F25</f>
        <v/>
      </c>
      <c r="G26" s="198">
        <f>G24-G25</f>
        <v/>
      </c>
      <c r="H26" s="198">
        <f>H24-H25</f>
        <v/>
      </c>
      <c r="I26" s="198">
        <f>I24-I25</f>
        <v/>
      </c>
      <c r="J26" s="198">
        <f>J24-J25</f>
        <v/>
      </c>
      <c r="K26" s="198">
        <f>K24-K25</f>
        <v/>
      </c>
      <c r="L26" s="198">
        <f>L24-L25</f>
        <v/>
      </c>
      <c r="M26" s="198">
        <f>M24-M25</f>
        <v/>
      </c>
      <c r="N26" s="199">
        <f>SUM(B26:M26)</f>
        <v/>
      </c>
    </row>
    <row r="27" ht="15" customHeight="1" s="121">
      <c r="A27" s="195" t="inlineStr">
        <is>
          <t>Cumulative net rev (USD)</t>
        </is>
      </c>
      <c r="B27" s="198">
        <f>B26</f>
        <v/>
      </c>
      <c r="C27" s="198">
        <f>B27+C26</f>
        <v/>
      </c>
      <c r="D27" s="198">
        <f>C27+D26</f>
        <v/>
      </c>
      <c r="E27" s="198">
        <f>D27+E26</f>
        <v/>
      </c>
      <c r="F27" s="198">
        <f>E27+F26</f>
        <v/>
      </c>
      <c r="G27" s="198">
        <f>F27+G26</f>
        <v/>
      </c>
      <c r="H27" s="198">
        <f>G27+H26</f>
        <v/>
      </c>
      <c r="I27" s="198">
        <f>H27+I26</f>
        <v/>
      </c>
      <c r="J27" s="198">
        <f>I27+J26</f>
        <v/>
      </c>
      <c r="K27" s="198">
        <f>J27+K26</f>
        <v/>
      </c>
      <c r="L27" s="198">
        <f>K27+L26</f>
        <v/>
      </c>
      <c r="M27" s="198">
        <f>L27+M26</f>
        <v/>
      </c>
      <c r="N27" s="199">
        <f>M27</f>
        <v/>
      </c>
    </row>
    <row r="29" ht="21.75" customHeight="1" s="121">
      <c r="A29" s="200" t="inlineStr">
        <is>
          <t>TARGET SCENARIO</t>
        </is>
      </c>
    </row>
    <row r="30" ht="15" customHeight="1" s="121">
      <c r="A30" s="201" t="inlineStr">
        <is>
          <t>DAU</t>
        </is>
      </c>
      <c r="B30" s="202">
        <f>ROUND($D$6*(1+$D$7)^(1-1),0)</f>
        <v/>
      </c>
      <c r="C30" s="202">
        <f>ROUND($D$6*(1+$D$7)^(2-1),0)</f>
        <v/>
      </c>
      <c r="D30" s="202">
        <f>ROUND($D$6*(1+$D$7)^(3-1),0)</f>
        <v/>
      </c>
      <c r="E30" s="202">
        <f>ROUND($D$6*(1+$D$7)^(4-1),0)</f>
        <v/>
      </c>
      <c r="F30" s="202">
        <f>ROUND($D$6*(1+$D$7)^(5-1),0)</f>
        <v/>
      </c>
      <c r="G30" s="202">
        <f>ROUND($D$6*(1+$D$7)^(6-1),0)</f>
        <v/>
      </c>
      <c r="H30" s="202">
        <f>ROUND($D$6*(1+$D$7)^(7-1),0)</f>
        <v/>
      </c>
      <c r="I30" s="202">
        <f>ROUND($D$6*(1+$D$7)^(8-1),0)</f>
        <v/>
      </c>
      <c r="J30" s="202">
        <f>ROUND($D$6*(1+$D$7)^(9-1),0)</f>
        <v/>
      </c>
      <c r="K30" s="202">
        <f>ROUND($D$6*(1+$D$7)^(10-1),0)</f>
        <v/>
      </c>
      <c r="L30" s="202">
        <f>ROUND($D$6*(1+$D$7)^(11-1),0)</f>
        <v/>
      </c>
      <c r="M30" s="202">
        <f>ROUND($D$6*(1+$D$7)^(12-1),0)</f>
        <v/>
      </c>
      <c r="N30" s="203">
        <f>SUM(B30:M30)</f>
        <v/>
      </c>
    </row>
    <row r="31" ht="15" customHeight="1" s="121">
      <c r="A31" s="201" t="inlineStr">
        <is>
          <t>Paying users</t>
        </is>
      </c>
      <c r="B31" s="202">
        <f>ROUND(B30*$D$8,0)</f>
        <v/>
      </c>
      <c r="C31" s="202">
        <f>ROUND(C30*$D$8,0)</f>
        <v/>
      </c>
      <c r="D31" s="202">
        <f>ROUND(D30*$D$8,0)</f>
        <v/>
      </c>
      <c r="E31" s="202">
        <f>ROUND(E30*$D$8,0)</f>
        <v/>
      </c>
      <c r="F31" s="202">
        <f>ROUND(F30*$D$8,0)</f>
        <v/>
      </c>
      <c r="G31" s="202">
        <f>ROUND(G30*$D$8,0)</f>
        <v/>
      </c>
      <c r="H31" s="202">
        <f>ROUND(H30*$D$8,0)</f>
        <v/>
      </c>
      <c r="I31" s="202">
        <f>ROUND(I30*$D$8,0)</f>
        <v/>
      </c>
      <c r="J31" s="202">
        <f>ROUND(J30*$D$8,0)</f>
        <v/>
      </c>
      <c r="K31" s="202">
        <f>ROUND(K30*$D$8,0)</f>
        <v/>
      </c>
      <c r="L31" s="202">
        <f>ROUND(L30*$D$8,0)</f>
        <v/>
      </c>
      <c r="M31" s="202">
        <f>ROUND(M30*$D$8,0)</f>
        <v/>
      </c>
      <c r="N31" s="203">
        <f>SUM(B31:M31)</f>
        <v/>
      </c>
    </row>
    <row r="32" ht="15" customHeight="1" s="121">
      <c r="A32" s="201" t="inlineStr">
        <is>
          <t>Gross revenue (USD)</t>
        </is>
      </c>
      <c r="B32" s="204">
        <f>B31*$D$9</f>
        <v/>
      </c>
      <c r="C32" s="204">
        <f>C31*$D$9</f>
        <v/>
      </c>
      <c r="D32" s="204">
        <f>D31*$D$9</f>
        <v/>
      </c>
      <c r="E32" s="204">
        <f>E31*$D$9</f>
        <v/>
      </c>
      <c r="F32" s="204">
        <f>F31*$D$9</f>
        <v/>
      </c>
      <c r="G32" s="204">
        <f>G31*$D$9</f>
        <v/>
      </c>
      <c r="H32" s="204">
        <f>H31*$D$9</f>
        <v/>
      </c>
      <c r="I32" s="204">
        <f>I31*$D$9</f>
        <v/>
      </c>
      <c r="J32" s="204">
        <f>J31*$D$9</f>
        <v/>
      </c>
      <c r="K32" s="204">
        <f>K31*$D$9</f>
        <v/>
      </c>
      <c r="L32" s="204">
        <f>L31*$D$9</f>
        <v/>
      </c>
      <c r="M32" s="204">
        <f>M31*$D$9</f>
        <v/>
      </c>
      <c r="N32" s="205">
        <f>SUM(B32:M32)</f>
        <v/>
      </c>
    </row>
    <row r="33" ht="15" customHeight="1" s="121">
      <c r="A33" s="201" t="inlineStr">
        <is>
          <t>Platform cut (USD)</t>
        </is>
      </c>
      <c r="B33" s="204">
        <f>B32*$D$10</f>
        <v/>
      </c>
      <c r="C33" s="204">
        <f>C32*$D$10</f>
        <v/>
      </c>
      <c r="D33" s="204">
        <f>D32*$D$10</f>
        <v/>
      </c>
      <c r="E33" s="204">
        <f>E32*$D$10</f>
        <v/>
      </c>
      <c r="F33" s="204">
        <f>F32*$D$10</f>
        <v/>
      </c>
      <c r="G33" s="204">
        <f>G32*$D$10</f>
        <v/>
      </c>
      <c r="H33" s="204">
        <f>H32*$D$10</f>
        <v/>
      </c>
      <c r="I33" s="204">
        <f>I32*$D$10</f>
        <v/>
      </c>
      <c r="J33" s="204">
        <f>J32*$D$10</f>
        <v/>
      </c>
      <c r="K33" s="204">
        <f>K32*$D$10</f>
        <v/>
      </c>
      <c r="L33" s="204">
        <f>L32*$D$10</f>
        <v/>
      </c>
      <c r="M33" s="204">
        <f>M32*$D$10</f>
        <v/>
      </c>
      <c r="N33" s="205">
        <f>SUM(B33:M33)</f>
        <v/>
      </c>
    </row>
    <row r="34" ht="15" customHeight="1" s="121">
      <c r="A34" s="201" t="inlineStr">
        <is>
          <t>Net revenue (USD)</t>
        </is>
      </c>
      <c r="B34" s="204">
        <f>B32-B33</f>
        <v/>
      </c>
      <c r="C34" s="204">
        <f>C32-C33</f>
        <v/>
      </c>
      <c r="D34" s="204">
        <f>D32-D33</f>
        <v/>
      </c>
      <c r="E34" s="204">
        <f>E32-E33</f>
        <v/>
      </c>
      <c r="F34" s="204">
        <f>F32-F33</f>
        <v/>
      </c>
      <c r="G34" s="204">
        <f>G32-G33</f>
        <v/>
      </c>
      <c r="H34" s="204">
        <f>H32-H33</f>
        <v/>
      </c>
      <c r="I34" s="204">
        <f>I32-I33</f>
        <v/>
      </c>
      <c r="J34" s="204">
        <f>J32-J33</f>
        <v/>
      </c>
      <c r="K34" s="204">
        <f>K32-K33</f>
        <v/>
      </c>
      <c r="L34" s="204">
        <f>L32-L33</f>
        <v/>
      </c>
      <c r="M34" s="204">
        <f>M32-M33</f>
        <v/>
      </c>
      <c r="N34" s="205">
        <f>SUM(B34:M34)</f>
        <v/>
      </c>
    </row>
    <row r="35" ht="15" customHeight="1" s="121">
      <c r="A35" s="201" t="inlineStr">
        <is>
          <t>Cumulative net rev (USD)</t>
        </is>
      </c>
      <c r="B35" s="204">
        <f>B34</f>
        <v/>
      </c>
      <c r="C35" s="204">
        <f>B35+C34</f>
        <v/>
      </c>
      <c r="D35" s="204">
        <f>C35+D34</f>
        <v/>
      </c>
      <c r="E35" s="204">
        <f>D35+E34</f>
        <v/>
      </c>
      <c r="F35" s="204">
        <f>E35+F34</f>
        <v/>
      </c>
      <c r="G35" s="204">
        <f>F35+G34</f>
        <v/>
      </c>
      <c r="H35" s="204">
        <f>G35+H34</f>
        <v/>
      </c>
      <c r="I35" s="204">
        <f>H35+I34</f>
        <v/>
      </c>
      <c r="J35" s="204">
        <f>I35+J34</f>
        <v/>
      </c>
      <c r="K35" s="204">
        <f>J35+K34</f>
        <v/>
      </c>
      <c r="L35" s="204">
        <f>K35+L34</f>
        <v/>
      </c>
      <c r="M35" s="204">
        <f>L35+M34</f>
        <v/>
      </c>
      <c r="N35" s="205">
        <f>M35</f>
        <v/>
      </c>
    </row>
    <row r="37" ht="21.75" customHeight="1" s="121">
      <c r="A37" s="129" t="inlineStr">
        <is>
          <t>COMPARISON SUMMARY — 12-MONTH TOTALS</t>
        </is>
      </c>
    </row>
    <row r="38" ht="27.75" customHeight="1" s="121">
      <c r="A38" s="128" t="inlineStr">
        <is>
          <t>Metric</t>
        </is>
      </c>
      <c r="B38" s="128" t="inlineStr">
        <is>
          <t>Pessimistic</t>
        </is>
      </c>
      <c r="C38" s="128" t="inlineStr">
        <is>
          <t>Conservative</t>
        </is>
      </c>
      <c r="D38" s="128" t="inlineStr">
        <is>
          <t>Target</t>
        </is>
      </c>
      <c r="E38" s="128" t="n"/>
      <c r="F38" s="128" t="n"/>
      <c r="G38" s="128" t="n"/>
      <c r="H38" s="128" t="n"/>
      <c r="I38" s="128" t="n"/>
      <c r="J38" s="128" t="n"/>
      <c r="K38" s="128" t="n"/>
      <c r="L38" s="128" t="n"/>
      <c r="M38" s="128" t="n"/>
      <c r="N38" s="128" t="inlineStr">
        <is>
          <t>Δ Target vs Cons</t>
        </is>
      </c>
    </row>
    <row r="39" ht="15" customHeight="1" s="121">
      <c r="A39" s="145" t="inlineStr">
        <is>
          <t>Total Net Revenue (12 mo)</t>
        </is>
      </c>
      <c r="B39" s="206">
        <f>N18</f>
        <v/>
      </c>
      <c r="C39" s="206">
        <f>N26</f>
        <v/>
      </c>
      <c r="D39" s="206">
        <f>N34</f>
        <v/>
      </c>
      <c r="N39" s="206">
        <f>D39-C39</f>
        <v/>
      </c>
    </row>
    <row r="40" ht="15" customHeight="1" s="121">
      <c r="A40" s="145" t="inlineStr">
        <is>
          <t>DAU at M12</t>
        </is>
      </c>
      <c r="B40" s="149">
        <f>M14</f>
        <v/>
      </c>
      <c r="C40" s="149">
        <f>M22</f>
        <v/>
      </c>
      <c r="D40" s="149">
        <f>M30</f>
        <v/>
      </c>
      <c r="N40" s="149">
        <f>D40-C40</f>
        <v/>
      </c>
    </row>
    <row r="41" ht="15" customHeight="1" s="121">
      <c r="A41" s="145" t="inlineStr">
        <is>
          <t>Paying Users at M12</t>
        </is>
      </c>
      <c r="B41" s="149">
        <f>M15</f>
        <v/>
      </c>
      <c r="C41" s="149">
        <f>M23</f>
        <v/>
      </c>
      <c r="D41" s="149">
        <f>M31</f>
        <v/>
      </c>
      <c r="N41" s="149">
        <f>D41-C41</f>
        <v/>
      </c>
    </row>
  </sheetData>
  <mergeCells count="7">
    <mergeCell ref="A4:N4"/>
    <mergeCell ref="A21:N21"/>
    <mergeCell ref="A2:N2"/>
    <mergeCell ref="A29:N29"/>
    <mergeCell ref="A37:N37"/>
    <mergeCell ref="A13:N13"/>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N42"/>
  <sheetViews>
    <sheetView showFormulas="0" showGridLines="0" showRowColHeaders="1" showZeros="1" rightToLeft="0" tabSelected="0" showOutlineSymbols="1" defaultGridColor="1"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baseColWidth="8" defaultColWidth="8.6796875" defaultRowHeight="15" zeroHeight="0" outlineLevelRow="0"/>
  <cols>
    <col width="38" customWidth="1" style="120" min="1" max="1"/>
    <col width="11" customWidth="1" style="120" min="2" max="13"/>
    <col width="14" customWidth="1" style="120" min="14" max="14"/>
  </cols>
  <sheetData>
    <row r="1" ht="19.5" customHeight="1" s="121">
      <c r="A1" s="122" t="inlineStr">
        <is>
          <t>COST PROJECTION</t>
        </is>
      </c>
    </row>
    <row r="2" ht="15" customHeight="1" s="121">
      <c r="A2" s="123" t="inlineStr">
        <is>
          <t>Monthly costs and net profit per scenario. Firebase scales with DAU; dev burn is flat; UA spend is per-scenario. Pulls net revenue from DAU &amp; Revenue Model to close the loop.</t>
        </is>
      </c>
    </row>
    <row r="4" ht="21.75" customHeight="1" s="121">
      <c r="A4" s="129" t="inlineStr">
        <is>
          <t>DRIVER INPUTS (mirrored — green text)</t>
        </is>
      </c>
    </row>
    <row r="5" ht="27.75" customHeight="1" s="121">
      <c r="A5" s="128" t="inlineStr">
        <is>
          <t>Driver</t>
        </is>
      </c>
      <c r="B5" s="128" t="inlineStr">
        <is>
          <t>Pessimistic</t>
        </is>
      </c>
      <c r="C5" s="128" t="inlineStr">
        <is>
          <t>Conservative</t>
        </is>
      </c>
      <c r="D5" s="128" t="inlineStr">
        <is>
          <t>Target</t>
        </is>
      </c>
      <c r="E5" s="128" t="n"/>
      <c r="F5" s="128" t="n"/>
      <c r="G5" s="128" t="n"/>
      <c r="H5" s="128" t="n"/>
      <c r="I5" s="128" t="n"/>
      <c r="J5" s="128" t="n"/>
      <c r="K5" s="128" t="n"/>
      <c r="L5" s="128" t="n"/>
      <c r="M5" s="128" t="n"/>
      <c r="N5" s="128" t="inlineStr">
        <is>
          <t>Notes</t>
        </is>
      </c>
    </row>
    <row r="6" ht="15" customHeight="1" s="121">
      <c r="A6" s="131" t="inlineStr">
        <is>
          <t>Firebase $ per DAU per mo</t>
        </is>
      </c>
      <c r="B6" s="182">
        <f>Assumptions!$C$107</f>
        <v/>
      </c>
      <c r="C6" s="182">
        <f>Assumptions!$C$107</f>
        <v/>
      </c>
      <c r="D6" s="182">
        <f>Assumptions!$C$107</f>
        <v/>
      </c>
    </row>
    <row r="7" ht="15" customHeight="1" s="121">
      <c r="A7" s="131" t="inlineStr">
        <is>
          <t>Dev burn monthly USD</t>
        </is>
      </c>
      <c r="B7" s="207">
        <f>Assumptions!$C$108</f>
        <v/>
      </c>
      <c r="C7" s="207">
        <f>Assumptions!$C$108</f>
        <v/>
      </c>
      <c r="D7" s="207">
        <f>Assumptions!$C$108</f>
        <v/>
      </c>
    </row>
    <row r="8" ht="15" customHeight="1" s="121">
      <c r="A8" s="131" t="inlineStr">
        <is>
          <t>UA spend monthly USD</t>
        </is>
      </c>
      <c r="B8" s="207">
        <f>Assumptions!$C$109</f>
        <v/>
      </c>
      <c r="C8" s="207">
        <f>Assumptions!$C$110</f>
        <v/>
      </c>
      <c r="D8" s="207">
        <f>Assumptions!$C$111</f>
        <v/>
      </c>
    </row>
    <row r="10" ht="27.75" customHeight="1" s="121">
      <c r="A10" s="128" t="inlineStr">
        <is>
          <t>Metric</t>
        </is>
      </c>
      <c r="B10" s="128" t="inlineStr">
        <is>
          <t>M1</t>
        </is>
      </c>
      <c r="C10" s="128" t="inlineStr">
        <is>
          <t>M2</t>
        </is>
      </c>
      <c r="D10" s="128" t="inlineStr">
        <is>
          <t>M3</t>
        </is>
      </c>
      <c r="E10" s="128" t="inlineStr">
        <is>
          <t>M4</t>
        </is>
      </c>
      <c r="F10" s="128" t="inlineStr">
        <is>
          <t>M5</t>
        </is>
      </c>
      <c r="G10" s="128" t="inlineStr">
        <is>
          <t>M6</t>
        </is>
      </c>
      <c r="H10" s="128" t="inlineStr">
        <is>
          <t>M7</t>
        </is>
      </c>
      <c r="I10" s="128" t="inlineStr">
        <is>
          <t>M8</t>
        </is>
      </c>
      <c r="J10" s="128" t="inlineStr">
        <is>
          <t>M9</t>
        </is>
      </c>
      <c r="K10" s="128" t="inlineStr">
        <is>
          <t>M10</t>
        </is>
      </c>
      <c r="L10" s="128" t="inlineStr">
        <is>
          <t>M11</t>
        </is>
      </c>
      <c r="M10" s="128" t="inlineStr">
        <is>
          <t>M12</t>
        </is>
      </c>
      <c r="N10" s="128" t="inlineStr">
        <is>
          <t>12-mo Total</t>
        </is>
      </c>
    </row>
    <row r="11" ht="21.75" customHeight="1" s="121">
      <c r="A11" s="188" t="inlineStr">
        <is>
          <t>PESSIMISTIC SCENARIO</t>
        </is>
      </c>
    </row>
    <row r="12" ht="15" customHeight="1" s="121">
      <c r="A12" s="189" t="inlineStr">
        <is>
          <t>Firebase cost (USD)</t>
        </is>
      </c>
      <c r="B12" s="208">
        <f>'DAU &amp; Revenue Model'!B14*$B$6</f>
        <v/>
      </c>
      <c r="C12" s="208">
        <f>'DAU &amp; Revenue Model'!C14*$B$6</f>
        <v/>
      </c>
      <c r="D12" s="208">
        <f>'DAU &amp; Revenue Model'!D14*$B$6</f>
        <v/>
      </c>
      <c r="E12" s="208">
        <f>'DAU &amp; Revenue Model'!E14*$B$6</f>
        <v/>
      </c>
      <c r="F12" s="208">
        <f>'DAU &amp; Revenue Model'!F14*$B$6</f>
        <v/>
      </c>
      <c r="G12" s="208">
        <f>'DAU &amp; Revenue Model'!G14*$B$6</f>
        <v/>
      </c>
      <c r="H12" s="208">
        <f>'DAU &amp; Revenue Model'!H14*$B$6</f>
        <v/>
      </c>
      <c r="I12" s="208">
        <f>'DAU &amp; Revenue Model'!I14*$B$6</f>
        <v/>
      </c>
      <c r="J12" s="208">
        <f>'DAU &amp; Revenue Model'!J14*$B$6</f>
        <v/>
      </c>
      <c r="K12" s="208">
        <f>'DAU &amp; Revenue Model'!K14*$B$6</f>
        <v/>
      </c>
      <c r="L12" s="208">
        <f>'DAU &amp; Revenue Model'!L14*$B$6</f>
        <v/>
      </c>
      <c r="M12" s="208">
        <f>'DAU &amp; Revenue Model'!M14*$B$6</f>
        <v/>
      </c>
      <c r="N12" s="193">
        <f>SUM(B12:M12)</f>
        <v/>
      </c>
    </row>
    <row r="13" ht="15" customHeight="1" s="121">
      <c r="A13" s="189" t="inlineStr">
        <is>
          <t>Dev burn (USD)</t>
        </is>
      </c>
      <c r="B13" s="192">
        <f>$B$7</f>
        <v/>
      </c>
      <c r="C13" s="192">
        <f>$B$7</f>
        <v/>
      </c>
      <c r="D13" s="192">
        <f>$B$7</f>
        <v/>
      </c>
      <c r="E13" s="192">
        <f>$B$7</f>
        <v/>
      </c>
      <c r="F13" s="192">
        <f>$B$7</f>
        <v/>
      </c>
      <c r="G13" s="192">
        <f>$B$7</f>
        <v/>
      </c>
      <c r="H13" s="192">
        <f>$B$7</f>
        <v/>
      </c>
      <c r="I13" s="192">
        <f>$B$7</f>
        <v/>
      </c>
      <c r="J13" s="192">
        <f>$B$7</f>
        <v/>
      </c>
      <c r="K13" s="192">
        <f>$B$7</f>
        <v/>
      </c>
      <c r="L13" s="192">
        <f>$B$7</f>
        <v/>
      </c>
      <c r="M13" s="192">
        <f>$B$7</f>
        <v/>
      </c>
      <c r="N13" s="193">
        <f>SUM(B13:M13)</f>
        <v/>
      </c>
    </row>
    <row r="14" ht="15" customHeight="1" s="121">
      <c r="A14" s="189" t="inlineStr">
        <is>
          <t>UA spend (USD)</t>
        </is>
      </c>
      <c r="B14" s="192">
        <f>$B$8</f>
        <v/>
      </c>
      <c r="C14" s="192">
        <f>$B$8</f>
        <v/>
      </c>
      <c r="D14" s="192">
        <f>$B$8</f>
        <v/>
      </c>
      <c r="E14" s="192">
        <f>$B$8</f>
        <v/>
      </c>
      <c r="F14" s="192">
        <f>$B$8</f>
        <v/>
      </c>
      <c r="G14" s="192">
        <f>$B$8</f>
        <v/>
      </c>
      <c r="H14" s="192">
        <f>$B$8</f>
        <v/>
      </c>
      <c r="I14" s="192">
        <f>$B$8</f>
        <v/>
      </c>
      <c r="J14" s="192">
        <f>$B$8</f>
        <v/>
      </c>
      <c r="K14" s="192">
        <f>$B$8</f>
        <v/>
      </c>
      <c r="L14" s="192">
        <f>$B$8</f>
        <v/>
      </c>
      <c r="M14" s="192">
        <f>$B$8</f>
        <v/>
      </c>
      <c r="N14" s="193">
        <f>SUM(B14:M14)</f>
        <v/>
      </c>
    </row>
    <row r="15" ht="15" customHeight="1" s="121">
      <c r="A15" s="189" t="inlineStr">
        <is>
          <t>Total costs (USD)</t>
        </is>
      </c>
      <c r="B15" s="192">
        <f>B12+B13+B14</f>
        <v/>
      </c>
      <c r="C15" s="192">
        <f>C12+C13+C14</f>
        <v/>
      </c>
      <c r="D15" s="192">
        <f>D12+D13+D14</f>
        <v/>
      </c>
      <c r="E15" s="192">
        <f>E12+E13+E14</f>
        <v/>
      </c>
      <c r="F15" s="192">
        <f>F12+F13+F14</f>
        <v/>
      </c>
      <c r="G15" s="192">
        <f>G12+G13+G14</f>
        <v/>
      </c>
      <c r="H15" s="192">
        <f>H12+H13+H14</f>
        <v/>
      </c>
      <c r="I15" s="192">
        <f>I12+I13+I14</f>
        <v/>
      </c>
      <c r="J15" s="192">
        <f>J12+J13+J14</f>
        <v/>
      </c>
      <c r="K15" s="192">
        <f>K12+K13+K14</f>
        <v/>
      </c>
      <c r="L15" s="192">
        <f>L12+L13+L14</f>
        <v/>
      </c>
      <c r="M15" s="192">
        <f>M12+M13+M14</f>
        <v/>
      </c>
      <c r="N15" s="193">
        <f>SUM(B15:M15)</f>
        <v/>
      </c>
    </row>
    <row r="16" ht="15" customHeight="1" s="121">
      <c r="A16" s="189" t="inlineStr">
        <is>
          <t>Net revenue (USD)</t>
        </is>
      </c>
      <c r="B16" s="208">
        <f>'DAU &amp; Revenue Model'!B18</f>
        <v/>
      </c>
      <c r="C16" s="208">
        <f>'DAU &amp; Revenue Model'!C18</f>
        <v/>
      </c>
      <c r="D16" s="208">
        <f>'DAU &amp; Revenue Model'!D18</f>
        <v/>
      </c>
      <c r="E16" s="208">
        <f>'DAU &amp; Revenue Model'!E18</f>
        <v/>
      </c>
      <c r="F16" s="208">
        <f>'DAU &amp; Revenue Model'!F18</f>
        <v/>
      </c>
      <c r="G16" s="208">
        <f>'DAU &amp; Revenue Model'!G18</f>
        <v/>
      </c>
      <c r="H16" s="208">
        <f>'DAU &amp; Revenue Model'!H18</f>
        <v/>
      </c>
      <c r="I16" s="208">
        <f>'DAU &amp; Revenue Model'!I18</f>
        <v/>
      </c>
      <c r="J16" s="208">
        <f>'DAU &amp; Revenue Model'!J18</f>
        <v/>
      </c>
      <c r="K16" s="208">
        <f>'DAU &amp; Revenue Model'!K18</f>
        <v/>
      </c>
      <c r="L16" s="208">
        <f>'DAU &amp; Revenue Model'!L18</f>
        <v/>
      </c>
      <c r="M16" s="208">
        <f>'DAU &amp; Revenue Model'!M18</f>
        <v/>
      </c>
      <c r="N16" s="193">
        <f>SUM(B16:M16)</f>
        <v/>
      </c>
    </row>
    <row r="17" ht="15" customHeight="1" s="121">
      <c r="A17" s="189" t="inlineStr">
        <is>
          <t>Net profit (USD)</t>
        </is>
      </c>
      <c r="B17" s="192">
        <f>B16-B15</f>
        <v/>
      </c>
      <c r="C17" s="192">
        <f>C16-C15</f>
        <v/>
      </c>
      <c r="D17" s="192">
        <f>D16-D15</f>
        <v/>
      </c>
      <c r="E17" s="192">
        <f>E16-E15</f>
        <v/>
      </c>
      <c r="F17" s="192">
        <f>F16-F15</f>
        <v/>
      </c>
      <c r="G17" s="192">
        <f>G16-G15</f>
        <v/>
      </c>
      <c r="H17" s="192">
        <f>H16-H15</f>
        <v/>
      </c>
      <c r="I17" s="192">
        <f>I16-I15</f>
        <v/>
      </c>
      <c r="J17" s="192">
        <f>J16-J15</f>
        <v/>
      </c>
      <c r="K17" s="192">
        <f>K16-K15</f>
        <v/>
      </c>
      <c r="L17" s="192">
        <f>L16-L15</f>
        <v/>
      </c>
      <c r="M17" s="192">
        <f>M16-M15</f>
        <v/>
      </c>
      <c r="N17" s="193">
        <f>SUM(B17:M17)</f>
        <v/>
      </c>
    </row>
    <row r="18" ht="15" customHeight="1" s="121">
      <c r="A18" s="189" t="inlineStr">
        <is>
          <t>Cumulative profit (USD)</t>
        </is>
      </c>
      <c r="B18" s="192">
        <f>B17</f>
        <v/>
      </c>
      <c r="C18" s="192">
        <f>B18+C17</f>
        <v/>
      </c>
      <c r="D18" s="192">
        <f>C18+D17</f>
        <v/>
      </c>
      <c r="E18" s="192">
        <f>D18+E17</f>
        <v/>
      </c>
      <c r="F18" s="192">
        <f>E18+F17</f>
        <v/>
      </c>
      <c r="G18" s="192">
        <f>F18+G17</f>
        <v/>
      </c>
      <c r="H18" s="192">
        <f>G18+H17</f>
        <v/>
      </c>
      <c r="I18" s="192">
        <f>H18+I17</f>
        <v/>
      </c>
      <c r="J18" s="192">
        <f>I18+J17</f>
        <v/>
      </c>
      <c r="K18" s="192">
        <f>J18+K17</f>
        <v/>
      </c>
      <c r="L18" s="192">
        <f>K18+L17</f>
        <v/>
      </c>
      <c r="M18" s="192">
        <f>L18+M17</f>
        <v/>
      </c>
      <c r="N18" s="193">
        <f>M18</f>
        <v/>
      </c>
    </row>
    <row r="20" ht="21.75" customHeight="1" s="121">
      <c r="A20" s="194" t="inlineStr">
        <is>
          <t>CONSERVATIVE SCENARIO</t>
        </is>
      </c>
    </row>
    <row r="21" ht="15" customHeight="1" s="121">
      <c r="A21" s="195" t="inlineStr">
        <is>
          <t>Firebase cost (USD)</t>
        </is>
      </c>
      <c r="B21" s="209">
        <f>'DAU &amp; Revenue Model'!B22*$C$6</f>
        <v/>
      </c>
      <c r="C21" s="209">
        <f>'DAU &amp; Revenue Model'!C22*$C$6</f>
        <v/>
      </c>
      <c r="D21" s="209">
        <f>'DAU &amp; Revenue Model'!D22*$C$6</f>
        <v/>
      </c>
      <c r="E21" s="209">
        <f>'DAU &amp; Revenue Model'!E22*$C$6</f>
        <v/>
      </c>
      <c r="F21" s="209">
        <f>'DAU &amp; Revenue Model'!F22*$C$6</f>
        <v/>
      </c>
      <c r="G21" s="209">
        <f>'DAU &amp; Revenue Model'!G22*$C$6</f>
        <v/>
      </c>
      <c r="H21" s="209">
        <f>'DAU &amp; Revenue Model'!H22*$C$6</f>
        <v/>
      </c>
      <c r="I21" s="209">
        <f>'DAU &amp; Revenue Model'!I22*$C$6</f>
        <v/>
      </c>
      <c r="J21" s="209">
        <f>'DAU &amp; Revenue Model'!J22*$C$6</f>
        <v/>
      </c>
      <c r="K21" s="209">
        <f>'DAU &amp; Revenue Model'!K22*$C$6</f>
        <v/>
      </c>
      <c r="L21" s="209">
        <f>'DAU &amp; Revenue Model'!L22*$C$6</f>
        <v/>
      </c>
      <c r="M21" s="209">
        <f>'DAU &amp; Revenue Model'!M22*$C$6</f>
        <v/>
      </c>
      <c r="N21" s="199">
        <f>SUM(B21:M21)</f>
        <v/>
      </c>
    </row>
    <row r="22" ht="15" customHeight="1" s="121">
      <c r="A22" s="195" t="inlineStr">
        <is>
          <t>Dev burn (USD)</t>
        </is>
      </c>
      <c r="B22" s="198">
        <f>$C$7</f>
        <v/>
      </c>
      <c r="C22" s="198">
        <f>$C$7</f>
        <v/>
      </c>
      <c r="D22" s="198">
        <f>$C$7</f>
        <v/>
      </c>
      <c r="E22" s="198">
        <f>$C$7</f>
        <v/>
      </c>
      <c r="F22" s="198">
        <f>$C$7</f>
        <v/>
      </c>
      <c r="G22" s="198">
        <f>$C$7</f>
        <v/>
      </c>
      <c r="H22" s="198">
        <f>$C$7</f>
        <v/>
      </c>
      <c r="I22" s="198">
        <f>$C$7</f>
        <v/>
      </c>
      <c r="J22" s="198">
        <f>$C$7</f>
        <v/>
      </c>
      <c r="K22" s="198">
        <f>$C$7</f>
        <v/>
      </c>
      <c r="L22" s="198">
        <f>$C$7</f>
        <v/>
      </c>
      <c r="M22" s="198">
        <f>$C$7</f>
        <v/>
      </c>
      <c r="N22" s="199">
        <f>SUM(B22:M22)</f>
        <v/>
      </c>
    </row>
    <row r="23" ht="15" customHeight="1" s="121">
      <c r="A23" s="195" t="inlineStr">
        <is>
          <t>UA spend (USD)</t>
        </is>
      </c>
      <c r="B23" s="198">
        <f>$C$8</f>
        <v/>
      </c>
      <c r="C23" s="198">
        <f>$C$8</f>
        <v/>
      </c>
      <c r="D23" s="198">
        <f>$C$8</f>
        <v/>
      </c>
      <c r="E23" s="198">
        <f>$C$8</f>
        <v/>
      </c>
      <c r="F23" s="198">
        <f>$C$8</f>
        <v/>
      </c>
      <c r="G23" s="198">
        <f>$C$8</f>
        <v/>
      </c>
      <c r="H23" s="198">
        <f>$C$8</f>
        <v/>
      </c>
      <c r="I23" s="198">
        <f>$C$8</f>
        <v/>
      </c>
      <c r="J23" s="198">
        <f>$C$8</f>
        <v/>
      </c>
      <c r="K23" s="198">
        <f>$C$8</f>
        <v/>
      </c>
      <c r="L23" s="198">
        <f>$C$8</f>
        <v/>
      </c>
      <c r="M23" s="198">
        <f>$C$8</f>
        <v/>
      </c>
      <c r="N23" s="199">
        <f>SUM(B23:M23)</f>
        <v/>
      </c>
    </row>
    <row r="24" ht="15" customHeight="1" s="121">
      <c r="A24" s="195" t="inlineStr">
        <is>
          <t>Total costs (USD)</t>
        </is>
      </c>
      <c r="B24" s="198">
        <f>B21+B22+B23</f>
        <v/>
      </c>
      <c r="C24" s="198">
        <f>C21+C22+C23</f>
        <v/>
      </c>
      <c r="D24" s="198">
        <f>D21+D22+D23</f>
        <v/>
      </c>
      <c r="E24" s="198">
        <f>E21+E22+E23</f>
        <v/>
      </c>
      <c r="F24" s="198">
        <f>F21+F22+F23</f>
        <v/>
      </c>
      <c r="G24" s="198">
        <f>G21+G22+G23</f>
        <v/>
      </c>
      <c r="H24" s="198">
        <f>H21+H22+H23</f>
        <v/>
      </c>
      <c r="I24" s="198">
        <f>I21+I22+I23</f>
        <v/>
      </c>
      <c r="J24" s="198">
        <f>J21+J22+J23</f>
        <v/>
      </c>
      <c r="K24" s="198">
        <f>K21+K22+K23</f>
        <v/>
      </c>
      <c r="L24" s="198">
        <f>L21+L22+L23</f>
        <v/>
      </c>
      <c r="M24" s="198">
        <f>M21+M22+M23</f>
        <v/>
      </c>
      <c r="N24" s="199">
        <f>SUM(B24:M24)</f>
        <v/>
      </c>
    </row>
    <row r="25" ht="15" customHeight="1" s="121">
      <c r="A25" s="195" t="inlineStr">
        <is>
          <t>Net revenue (USD)</t>
        </is>
      </c>
      <c r="B25" s="209">
        <f>'DAU &amp; Revenue Model'!B26</f>
        <v/>
      </c>
      <c r="C25" s="209">
        <f>'DAU &amp; Revenue Model'!C26</f>
        <v/>
      </c>
      <c r="D25" s="209">
        <f>'DAU &amp; Revenue Model'!D26</f>
        <v/>
      </c>
      <c r="E25" s="209">
        <f>'DAU &amp; Revenue Model'!E26</f>
        <v/>
      </c>
      <c r="F25" s="209">
        <f>'DAU &amp; Revenue Model'!F26</f>
        <v/>
      </c>
      <c r="G25" s="209">
        <f>'DAU &amp; Revenue Model'!G26</f>
        <v/>
      </c>
      <c r="H25" s="209">
        <f>'DAU &amp; Revenue Model'!H26</f>
        <v/>
      </c>
      <c r="I25" s="209">
        <f>'DAU &amp; Revenue Model'!I26</f>
        <v/>
      </c>
      <c r="J25" s="209">
        <f>'DAU &amp; Revenue Model'!J26</f>
        <v/>
      </c>
      <c r="K25" s="209">
        <f>'DAU &amp; Revenue Model'!K26</f>
        <v/>
      </c>
      <c r="L25" s="209">
        <f>'DAU &amp; Revenue Model'!L26</f>
        <v/>
      </c>
      <c r="M25" s="209">
        <f>'DAU &amp; Revenue Model'!M26</f>
        <v/>
      </c>
      <c r="N25" s="199">
        <f>SUM(B25:M25)</f>
        <v/>
      </c>
    </row>
    <row r="26" ht="15" customHeight="1" s="121">
      <c r="A26" s="195" t="inlineStr">
        <is>
          <t>Net profit (USD)</t>
        </is>
      </c>
      <c r="B26" s="198">
        <f>B25-B24</f>
        <v/>
      </c>
      <c r="C26" s="198">
        <f>C25-C24</f>
        <v/>
      </c>
      <c r="D26" s="198">
        <f>D25-D24</f>
        <v/>
      </c>
      <c r="E26" s="198">
        <f>E25-E24</f>
        <v/>
      </c>
      <c r="F26" s="198">
        <f>F25-F24</f>
        <v/>
      </c>
      <c r="G26" s="198">
        <f>G25-G24</f>
        <v/>
      </c>
      <c r="H26" s="198">
        <f>H25-H24</f>
        <v/>
      </c>
      <c r="I26" s="198">
        <f>I25-I24</f>
        <v/>
      </c>
      <c r="J26" s="198">
        <f>J25-J24</f>
        <v/>
      </c>
      <c r="K26" s="198">
        <f>K25-K24</f>
        <v/>
      </c>
      <c r="L26" s="198">
        <f>L25-L24</f>
        <v/>
      </c>
      <c r="M26" s="198">
        <f>M25-M24</f>
        <v/>
      </c>
      <c r="N26" s="199">
        <f>SUM(B26:M26)</f>
        <v/>
      </c>
    </row>
    <row r="27" ht="15" customHeight="1" s="121">
      <c r="A27" s="195" t="inlineStr">
        <is>
          <t>Cumulative profit (USD)</t>
        </is>
      </c>
      <c r="B27" s="198">
        <f>B26</f>
        <v/>
      </c>
      <c r="C27" s="198">
        <f>B27+C26</f>
        <v/>
      </c>
      <c r="D27" s="198">
        <f>C27+D26</f>
        <v/>
      </c>
      <c r="E27" s="198">
        <f>D27+E26</f>
        <v/>
      </c>
      <c r="F27" s="198">
        <f>E27+F26</f>
        <v/>
      </c>
      <c r="G27" s="198">
        <f>F27+G26</f>
        <v/>
      </c>
      <c r="H27" s="198">
        <f>G27+H26</f>
        <v/>
      </c>
      <c r="I27" s="198">
        <f>H27+I26</f>
        <v/>
      </c>
      <c r="J27" s="198">
        <f>I27+J26</f>
        <v/>
      </c>
      <c r="K27" s="198">
        <f>J27+K26</f>
        <v/>
      </c>
      <c r="L27" s="198">
        <f>K27+L26</f>
        <v/>
      </c>
      <c r="M27" s="198">
        <f>L27+M26</f>
        <v/>
      </c>
      <c r="N27" s="199">
        <f>M27</f>
        <v/>
      </c>
    </row>
    <row r="29" ht="21.75" customHeight="1" s="121">
      <c r="A29" s="200" t="inlineStr">
        <is>
          <t>TARGET SCENARIO</t>
        </is>
      </c>
    </row>
    <row r="30" ht="15" customHeight="1" s="121">
      <c r="A30" s="201" t="inlineStr">
        <is>
          <t>Firebase cost (USD)</t>
        </is>
      </c>
      <c r="B30" s="210">
        <f>'DAU &amp; Revenue Model'!B30*$D$6</f>
        <v/>
      </c>
      <c r="C30" s="210">
        <f>'DAU &amp; Revenue Model'!C30*$D$6</f>
        <v/>
      </c>
      <c r="D30" s="210">
        <f>'DAU &amp; Revenue Model'!D30*$D$6</f>
        <v/>
      </c>
      <c r="E30" s="210">
        <f>'DAU &amp; Revenue Model'!E30*$D$6</f>
        <v/>
      </c>
      <c r="F30" s="210">
        <f>'DAU &amp; Revenue Model'!F30*$D$6</f>
        <v/>
      </c>
      <c r="G30" s="210">
        <f>'DAU &amp; Revenue Model'!G30*$D$6</f>
        <v/>
      </c>
      <c r="H30" s="210">
        <f>'DAU &amp; Revenue Model'!H30*$D$6</f>
        <v/>
      </c>
      <c r="I30" s="210">
        <f>'DAU &amp; Revenue Model'!I30*$D$6</f>
        <v/>
      </c>
      <c r="J30" s="210">
        <f>'DAU &amp; Revenue Model'!J30*$D$6</f>
        <v/>
      </c>
      <c r="K30" s="210">
        <f>'DAU &amp; Revenue Model'!K30*$D$6</f>
        <v/>
      </c>
      <c r="L30" s="210">
        <f>'DAU &amp; Revenue Model'!L30*$D$6</f>
        <v/>
      </c>
      <c r="M30" s="210">
        <f>'DAU &amp; Revenue Model'!M30*$D$6</f>
        <v/>
      </c>
      <c r="N30" s="205">
        <f>SUM(B30:M30)</f>
        <v/>
      </c>
    </row>
    <row r="31" ht="15" customHeight="1" s="121">
      <c r="A31" s="201" t="inlineStr">
        <is>
          <t>Dev burn (USD)</t>
        </is>
      </c>
      <c r="B31" s="204">
        <f>$D$7</f>
        <v/>
      </c>
      <c r="C31" s="204">
        <f>$D$7</f>
        <v/>
      </c>
      <c r="D31" s="204">
        <f>$D$7</f>
        <v/>
      </c>
      <c r="E31" s="204">
        <f>$D$7</f>
        <v/>
      </c>
      <c r="F31" s="204">
        <f>$D$7</f>
        <v/>
      </c>
      <c r="G31" s="204">
        <f>$D$7</f>
        <v/>
      </c>
      <c r="H31" s="204">
        <f>$D$7</f>
        <v/>
      </c>
      <c r="I31" s="204">
        <f>$D$7</f>
        <v/>
      </c>
      <c r="J31" s="204">
        <f>$D$7</f>
        <v/>
      </c>
      <c r="K31" s="204">
        <f>$D$7</f>
        <v/>
      </c>
      <c r="L31" s="204">
        <f>$D$7</f>
        <v/>
      </c>
      <c r="M31" s="204">
        <f>$D$7</f>
        <v/>
      </c>
      <c r="N31" s="205">
        <f>SUM(B31:M31)</f>
        <v/>
      </c>
    </row>
    <row r="32" ht="15" customHeight="1" s="121">
      <c r="A32" s="201" t="inlineStr">
        <is>
          <t>UA spend (USD)</t>
        </is>
      </c>
      <c r="B32" s="204">
        <f>$D$8</f>
        <v/>
      </c>
      <c r="C32" s="204">
        <f>$D$8</f>
        <v/>
      </c>
      <c r="D32" s="204">
        <f>$D$8</f>
        <v/>
      </c>
      <c r="E32" s="204">
        <f>$D$8</f>
        <v/>
      </c>
      <c r="F32" s="204">
        <f>$D$8</f>
        <v/>
      </c>
      <c r="G32" s="204">
        <f>$D$8</f>
        <v/>
      </c>
      <c r="H32" s="204">
        <f>$D$8</f>
        <v/>
      </c>
      <c r="I32" s="204">
        <f>$D$8</f>
        <v/>
      </c>
      <c r="J32" s="204">
        <f>$D$8</f>
        <v/>
      </c>
      <c r="K32" s="204">
        <f>$D$8</f>
        <v/>
      </c>
      <c r="L32" s="204">
        <f>$D$8</f>
        <v/>
      </c>
      <c r="M32" s="204">
        <f>$D$8</f>
        <v/>
      </c>
      <c r="N32" s="205">
        <f>SUM(B32:M32)</f>
        <v/>
      </c>
    </row>
    <row r="33" ht="15" customHeight="1" s="121">
      <c r="A33" s="201" t="inlineStr">
        <is>
          <t>Total costs (USD)</t>
        </is>
      </c>
      <c r="B33" s="204">
        <f>B30+B31+B32</f>
        <v/>
      </c>
      <c r="C33" s="204">
        <f>C30+C31+C32</f>
        <v/>
      </c>
      <c r="D33" s="204">
        <f>D30+D31+D32</f>
        <v/>
      </c>
      <c r="E33" s="204">
        <f>E30+E31+E32</f>
        <v/>
      </c>
      <c r="F33" s="204">
        <f>F30+F31+F32</f>
        <v/>
      </c>
      <c r="G33" s="204">
        <f>G30+G31+G32</f>
        <v/>
      </c>
      <c r="H33" s="204">
        <f>H30+H31+H32</f>
        <v/>
      </c>
      <c r="I33" s="204">
        <f>I30+I31+I32</f>
        <v/>
      </c>
      <c r="J33" s="204">
        <f>J30+J31+J32</f>
        <v/>
      </c>
      <c r="K33" s="204">
        <f>K30+K31+K32</f>
        <v/>
      </c>
      <c r="L33" s="204">
        <f>L30+L31+L32</f>
        <v/>
      </c>
      <c r="M33" s="204">
        <f>M30+M31+M32</f>
        <v/>
      </c>
      <c r="N33" s="205">
        <f>SUM(B33:M33)</f>
        <v/>
      </c>
    </row>
    <row r="34" ht="15" customHeight="1" s="121">
      <c r="A34" s="201" t="inlineStr">
        <is>
          <t>Net revenue (USD)</t>
        </is>
      </c>
      <c r="B34" s="210">
        <f>'DAU &amp; Revenue Model'!B34</f>
        <v/>
      </c>
      <c r="C34" s="210">
        <f>'DAU &amp; Revenue Model'!C34</f>
        <v/>
      </c>
      <c r="D34" s="210">
        <f>'DAU &amp; Revenue Model'!D34</f>
        <v/>
      </c>
      <c r="E34" s="210">
        <f>'DAU &amp; Revenue Model'!E34</f>
        <v/>
      </c>
      <c r="F34" s="210">
        <f>'DAU &amp; Revenue Model'!F34</f>
        <v/>
      </c>
      <c r="G34" s="210">
        <f>'DAU &amp; Revenue Model'!G34</f>
        <v/>
      </c>
      <c r="H34" s="210">
        <f>'DAU &amp; Revenue Model'!H34</f>
        <v/>
      </c>
      <c r="I34" s="210">
        <f>'DAU &amp; Revenue Model'!I34</f>
        <v/>
      </c>
      <c r="J34" s="210">
        <f>'DAU &amp; Revenue Model'!J34</f>
        <v/>
      </c>
      <c r="K34" s="210">
        <f>'DAU &amp; Revenue Model'!K34</f>
        <v/>
      </c>
      <c r="L34" s="210">
        <f>'DAU &amp; Revenue Model'!L34</f>
        <v/>
      </c>
      <c r="M34" s="210">
        <f>'DAU &amp; Revenue Model'!M34</f>
        <v/>
      </c>
      <c r="N34" s="205">
        <f>SUM(B34:M34)</f>
        <v/>
      </c>
    </row>
    <row r="35" ht="15" customHeight="1" s="121">
      <c r="A35" s="201" t="inlineStr">
        <is>
          <t>Net profit (USD)</t>
        </is>
      </c>
      <c r="B35" s="204">
        <f>B34-B33</f>
        <v/>
      </c>
      <c r="C35" s="204">
        <f>C34-C33</f>
        <v/>
      </c>
      <c r="D35" s="204">
        <f>D34-D33</f>
        <v/>
      </c>
      <c r="E35" s="204">
        <f>E34-E33</f>
        <v/>
      </c>
      <c r="F35" s="204">
        <f>F34-F33</f>
        <v/>
      </c>
      <c r="G35" s="204">
        <f>G34-G33</f>
        <v/>
      </c>
      <c r="H35" s="204">
        <f>H34-H33</f>
        <v/>
      </c>
      <c r="I35" s="204">
        <f>I34-I33</f>
        <v/>
      </c>
      <c r="J35" s="204">
        <f>J34-J33</f>
        <v/>
      </c>
      <c r="K35" s="204">
        <f>K34-K33</f>
        <v/>
      </c>
      <c r="L35" s="204">
        <f>L34-L33</f>
        <v/>
      </c>
      <c r="M35" s="204">
        <f>M34-M33</f>
        <v/>
      </c>
      <c r="N35" s="205">
        <f>SUM(B35:M35)</f>
        <v/>
      </c>
    </row>
    <row r="36" ht="15" customHeight="1" s="121">
      <c r="A36" s="201" t="inlineStr">
        <is>
          <t>Cumulative profit (USD)</t>
        </is>
      </c>
      <c r="B36" s="204">
        <f>B35</f>
        <v/>
      </c>
      <c r="C36" s="204">
        <f>B36+C35</f>
        <v/>
      </c>
      <c r="D36" s="204">
        <f>C36+D35</f>
        <v/>
      </c>
      <c r="E36" s="204">
        <f>D36+E35</f>
        <v/>
      </c>
      <c r="F36" s="204">
        <f>E36+F35</f>
        <v/>
      </c>
      <c r="G36" s="204">
        <f>F36+G35</f>
        <v/>
      </c>
      <c r="H36" s="204">
        <f>G36+H35</f>
        <v/>
      </c>
      <c r="I36" s="204">
        <f>H36+I35</f>
        <v/>
      </c>
      <c r="J36" s="204">
        <f>I36+J35</f>
        <v/>
      </c>
      <c r="K36" s="204">
        <f>J36+K35</f>
        <v/>
      </c>
      <c r="L36" s="204">
        <f>K36+L35</f>
        <v/>
      </c>
      <c r="M36" s="204">
        <f>L36+M35</f>
        <v/>
      </c>
      <c r="N36" s="205">
        <f>M36</f>
        <v/>
      </c>
    </row>
    <row r="38" ht="21.75" customHeight="1" s="121">
      <c r="A38" s="129" t="inlineStr">
        <is>
          <t>BREAKEVEN ANALYSIS</t>
        </is>
      </c>
    </row>
    <row r="39" ht="27.75" customHeight="1" s="121">
      <c r="A39" s="128" t="inlineStr">
        <is>
          <t>Metric</t>
        </is>
      </c>
      <c r="B39" s="128" t="inlineStr">
        <is>
          <t>Pessimistic</t>
        </is>
      </c>
      <c r="C39" s="128" t="inlineStr">
        <is>
          <t>Conservative</t>
        </is>
      </c>
      <c r="D39" s="128" t="inlineStr">
        <is>
          <t>Target</t>
        </is>
      </c>
      <c r="E39" s="128" t="n"/>
      <c r="F39" s="128" t="n"/>
      <c r="G39" s="128" t="n"/>
      <c r="H39" s="128" t="n"/>
      <c r="I39" s="128" t="n"/>
      <c r="J39" s="128" t="n"/>
      <c r="K39" s="128" t="n"/>
      <c r="L39" s="128" t="n"/>
      <c r="M39" s="128" t="n"/>
      <c r="N39" s="128" t="inlineStr">
        <is>
          <t>Notes</t>
        </is>
      </c>
    </row>
    <row r="40" ht="15" customHeight="1" s="121">
      <c r="A40" s="145" t="inlineStr">
        <is>
          <t>12-month cumulative profit</t>
        </is>
      </c>
      <c r="B40" s="206">
        <f>N18</f>
        <v/>
      </c>
      <c r="C40" s="206">
        <f>N27</f>
        <v/>
      </c>
      <c r="D40" s="206">
        <f>N36</f>
        <v/>
      </c>
      <c r="N40" s="151" t="inlineStr">
        <is>
          <t>Negative = year ends in the red</t>
        </is>
      </c>
    </row>
    <row r="41" ht="15" customHeight="1" s="121">
      <c r="A41" s="145" t="inlineStr">
        <is>
          <t>First profitable month (cum &gt; 0)</t>
        </is>
      </c>
      <c r="B41" s="211">
        <f>IFERROR("M"&amp;MATCH(TRUE(),INDEX(B18:M18&gt;0,0),0),"Not in 12 mo")</f>
        <v/>
      </c>
      <c r="C41" s="211">
        <f>IFERROR("M"&amp;MATCH(TRUE(),INDEX(B27:M27&gt;0,0),0),"Not in 12 mo")</f>
        <v/>
      </c>
      <c r="D41" s="211">
        <f>IFERROR("M"&amp;MATCH(TRUE(),INDEX(B36:M36&gt;0,0),0),"Not in 12 mo")</f>
        <v/>
      </c>
      <c r="N41" s="151" t="inlineStr">
        <is>
          <t>When the project recoups</t>
        </is>
      </c>
    </row>
    <row r="42" ht="15" customHeight="1" s="121">
      <c r="A42" s="145" t="inlineStr">
        <is>
          <t>12-mo ROI (cum profit ÷ 12-mo costs)</t>
        </is>
      </c>
      <c r="B42" s="212">
        <f>N18/N15</f>
        <v/>
      </c>
      <c r="C42" s="212">
        <f>N27/N24</f>
        <v/>
      </c>
      <c r="D42" s="212">
        <f>N36/N33</f>
        <v/>
      </c>
      <c r="N42" s="151" t="inlineStr">
        <is>
          <t>&gt;0% means net positive</t>
        </is>
      </c>
    </row>
  </sheetData>
  <mergeCells count="7">
    <mergeCell ref="A4:N4"/>
    <mergeCell ref="A20:N20"/>
    <mergeCell ref="A38:N38"/>
    <mergeCell ref="A2:N2"/>
    <mergeCell ref="A29:N29"/>
    <mergeCell ref="A11:N11"/>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5"/>
  <sheetViews>
    <sheetView showFormulas="0" showGridLines="0" showRowColHeaders="1" showZeros="1" rightToLeft="0" tabSelected="0" showOutlineSymbols="1" defaultGridColor="1"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baseColWidth="8" defaultColWidth="8.6796875" defaultRowHeight="15" zeroHeight="0" outlineLevelRow="0"/>
  <cols>
    <col width="24" customWidth="1" style="120" min="1" max="1"/>
    <col width="14" customWidth="1" style="120" min="2" max="6"/>
    <col width="36" customWidth="1" style="120" min="7" max="7"/>
  </cols>
  <sheetData>
    <row r="1" ht="19.5" customHeight="1" s="121">
      <c r="A1" s="122" t="inlineStr">
        <is>
          <t>PASS SENSITIVITY</t>
        </is>
      </c>
    </row>
    <row r="2" ht="15" customHeight="1" s="121">
      <c r="A2" s="123" t="inlineStr">
        <is>
          <t>Two-dimensional sensitivity: Pass attach rate (rows) × Pass price (columns). Output is monthly Pass revenue at Conservative scenario DAU/conversion. Use this to find the price-attach combo that maximizes Pass revenue.</t>
        </is>
      </c>
    </row>
    <row r="4" ht="21.75" customHeight="1" s="121">
      <c r="A4" s="129" t="inlineStr">
        <is>
          <t>DRIVER INPUTS (Conservative scenario at M6)</t>
        </is>
      </c>
    </row>
    <row r="5" ht="27.75" customHeight="1" s="121">
      <c r="A5" s="128" t="inlineStr">
        <is>
          <t>Driver</t>
        </is>
      </c>
      <c r="B5" s="128" t="inlineStr">
        <is>
          <t>Value</t>
        </is>
      </c>
      <c r="C5" s="128" t="n"/>
      <c r="D5" s="128" t="n"/>
      <c r="E5" s="128" t="n"/>
      <c r="F5" s="128" t="n"/>
      <c r="G5" s="128" t="inlineStr">
        <is>
          <t>Notes</t>
        </is>
      </c>
    </row>
    <row r="6" ht="26.25" customHeight="1" s="121">
      <c r="A6" s="131" t="inlineStr">
        <is>
          <t>Conservative paying users (M6)</t>
        </is>
      </c>
      <c r="B6" s="213">
        <f>'DAU &amp; Revenue Model'!$G$23</f>
        <v/>
      </c>
      <c r="G6" s="151" t="inlineStr">
        <is>
          <t>Baseline cohort for the analysis.</t>
        </is>
      </c>
    </row>
    <row r="7" ht="15" customHeight="1" s="121">
      <c r="A7" s="131" t="inlineStr">
        <is>
          <t>Pass attach rate range</t>
        </is>
      </c>
      <c r="B7" s="214" t="inlineStr">
        <is>
          <t>20% – 80%</t>
        </is>
      </c>
      <c r="G7" s="151" t="inlineStr">
        <is>
          <t>Tested in 10% increments.</t>
        </is>
      </c>
    </row>
    <row r="8" ht="15" customHeight="1" s="121">
      <c r="A8" s="131" t="inlineStr">
        <is>
          <t>Pass price range</t>
        </is>
      </c>
      <c r="B8" s="214" t="inlineStr">
        <is>
          <t>$4.99 – $19.99</t>
        </is>
      </c>
      <c r="G8" s="151" t="inlineStr">
        <is>
          <t>5 price points tested.</t>
        </is>
      </c>
    </row>
    <row r="10" ht="21.75" customHeight="1" s="121">
      <c r="A10" s="129" t="inlineStr">
        <is>
          <t>PASS REVENUE ($/month) — attach rate × price</t>
        </is>
      </c>
    </row>
    <row r="11" ht="27.75" customHeight="1" s="121">
      <c r="A11" s="128" t="inlineStr">
        <is>
          <t>Attach \ Price</t>
        </is>
      </c>
      <c r="B11" s="215" t="n">
        <v>4.99</v>
      </c>
      <c r="C11" s="215" t="n">
        <v>9.99</v>
      </c>
      <c r="D11" s="215" t="n">
        <v>14.99</v>
      </c>
      <c r="E11" s="215" t="n">
        <v>19.99</v>
      </c>
      <c r="F11" s="215" t="n">
        <v>24.99</v>
      </c>
      <c r="G11" s="128" t="inlineStr">
        <is>
          <t>Notes</t>
        </is>
      </c>
    </row>
    <row r="12" ht="15" customHeight="1" s="121">
      <c r="A12" s="216" t="n">
        <v>0.2</v>
      </c>
      <c r="B12" s="217">
        <f>$B$6*A12*4.99*(1-Assumptions!$C$104)</f>
        <v/>
      </c>
      <c r="C12" s="217">
        <f>$B$6*A12*9.99*(1-Assumptions!$C$104)</f>
        <v/>
      </c>
      <c r="D12" s="217">
        <f>$B$6*A12*14.99*(1-Assumptions!$C$104)</f>
        <v/>
      </c>
      <c r="E12" s="217">
        <f>$B$6*A12*19.99*(1-Assumptions!$C$104)</f>
        <v/>
      </c>
      <c r="F12" s="217">
        <f>$B$6*A12*24.99*(1-Assumptions!$C$104)</f>
        <v/>
      </c>
      <c r="G12" s="155" t="inlineStr">
        <is>
          <t>Floor estimate — weak engagement.</t>
        </is>
      </c>
    </row>
    <row r="13" ht="15" customHeight="1" s="121">
      <c r="A13" s="218" t="n">
        <v>0.3</v>
      </c>
      <c r="B13" s="206">
        <f>$B$6*A13*4.99*(1-Assumptions!$C$104)</f>
        <v/>
      </c>
      <c r="C13" s="206">
        <f>$B$6*A13*9.99*(1-Assumptions!$C$104)</f>
        <v/>
      </c>
      <c r="D13" s="206">
        <f>$B$6*A13*14.99*(1-Assumptions!$C$104)</f>
        <v/>
      </c>
      <c r="E13" s="206">
        <f>$B$6*A13*19.99*(1-Assumptions!$C$104)</f>
        <v/>
      </c>
      <c r="F13" s="206">
        <f>$B$6*A13*24.99*(1-Assumptions!$C$104)</f>
        <v/>
      </c>
    </row>
    <row r="14" ht="15" customHeight="1" s="121">
      <c r="A14" s="216" t="n">
        <v>0.4</v>
      </c>
      <c r="B14" s="217">
        <f>$B$6*A14*4.99*(1-Assumptions!$C$104)</f>
        <v/>
      </c>
      <c r="C14" s="217">
        <f>$B$6*A14*9.99*(1-Assumptions!$C$104)</f>
        <v/>
      </c>
      <c r="D14" s="217">
        <f>$B$6*A14*14.99*(1-Assumptions!$C$104)</f>
        <v/>
      </c>
      <c r="E14" s="217">
        <f>$B$6*A14*19.99*(1-Assumptions!$C$104)</f>
        <v/>
      </c>
      <c r="F14" s="217">
        <f>$B$6*A14*24.99*(1-Assumptions!$C$104)</f>
        <v/>
      </c>
      <c r="G14" s="155" t="inlineStr">
        <is>
          <t>Industry median attach rate for top-quartile passes.</t>
        </is>
      </c>
    </row>
    <row r="15" ht="15" customHeight="1" s="121">
      <c r="A15" s="218" t="n">
        <v>0.5</v>
      </c>
      <c r="B15" s="206">
        <f>$B$6*A15*4.99*(1-Assumptions!$C$104)</f>
        <v/>
      </c>
      <c r="C15" s="206">
        <f>$B$6*A15*9.99*(1-Assumptions!$C$104)</f>
        <v/>
      </c>
      <c r="D15" s="206">
        <f>$B$6*A15*14.99*(1-Assumptions!$C$104)</f>
        <v/>
      </c>
      <c r="E15" s="206">
        <f>$B$6*A15*19.99*(1-Assumptions!$C$104)</f>
        <v/>
      </c>
      <c r="F15" s="206">
        <f>$B$6*A15*24.99*(1-Assumptions!$C$104)</f>
        <v/>
      </c>
    </row>
    <row r="16" ht="15" customHeight="1" s="121">
      <c r="A16" s="216" t="n">
        <v>0.6</v>
      </c>
      <c r="B16" s="217">
        <f>$B$6*A16*4.99*(1-Assumptions!$C$104)</f>
        <v/>
      </c>
      <c r="C16" s="217">
        <f>$B$6*A16*9.99*(1-Assumptions!$C$104)</f>
        <v/>
      </c>
      <c r="D16" s="217">
        <f>$B$6*A16*14.99*(1-Assumptions!$C$104)</f>
        <v/>
      </c>
      <c r="E16" s="217">
        <f>$B$6*A16*19.99*(1-Assumptions!$C$104)</f>
        <v/>
      </c>
      <c r="F16" s="217">
        <f>$B$6*A16*24.99*(1-Assumptions!$C$104)</f>
        <v/>
      </c>
      <c r="G16" s="156" t="n"/>
    </row>
    <row r="17" ht="15" customHeight="1" s="121">
      <c r="A17" s="218" t="n">
        <v>0.7</v>
      </c>
      <c r="B17" s="206">
        <f>$B$6*A17*4.99*(1-Assumptions!$C$104)</f>
        <v/>
      </c>
      <c r="C17" s="206">
        <f>$B$6*A17*9.99*(1-Assumptions!$C$104)</f>
        <v/>
      </c>
      <c r="D17" s="206">
        <f>$B$6*A17*14.99*(1-Assumptions!$C$104)</f>
        <v/>
      </c>
      <c r="E17" s="206">
        <f>$B$6*A17*19.99*(1-Assumptions!$C$104)</f>
        <v/>
      </c>
      <c r="F17" s="206">
        <f>$B$6*A17*24.99*(1-Assumptions!$C$104)</f>
        <v/>
      </c>
    </row>
    <row r="18" ht="15" customHeight="1" s="121">
      <c r="A18" s="216" t="n">
        <v>0.8</v>
      </c>
      <c r="B18" s="217">
        <f>$B$6*A18*4.99*(1-Assumptions!$C$104)</f>
        <v/>
      </c>
      <c r="C18" s="217">
        <f>$B$6*A18*9.99*(1-Assumptions!$C$104)</f>
        <v/>
      </c>
      <c r="D18" s="217">
        <f>$B$6*A18*14.99*(1-Assumptions!$C$104)</f>
        <v/>
      </c>
      <c r="E18" s="217">
        <f>$B$6*A18*19.99*(1-Assumptions!$C$104)</f>
        <v/>
      </c>
      <c r="F18" s="217">
        <f>$B$6*A18*24.99*(1-Assumptions!$C$104)</f>
        <v/>
      </c>
      <c r="G18" s="155" t="inlineStr">
        <is>
          <t>Ceiling — would require strong onboarding to Pass.</t>
        </is>
      </c>
    </row>
    <row r="20" ht="21.75" customHeight="1" s="121">
      <c r="A20" s="129" t="inlineStr">
        <is>
          <t>ANNUALIZED IMPACT</t>
        </is>
      </c>
    </row>
    <row r="21" ht="15" customHeight="1" s="121">
      <c r="A21" s="178" t="inlineStr">
        <is>
          <t>Max monthly Pass revenue in matrix</t>
        </is>
      </c>
      <c r="E21" s="219">
        <f>MAX(B12:F18)</f>
        <v/>
      </c>
      <c r="F21" s="179" t="n"/>
      <c r="G21" s="179" t="n"/>
    </row>
    <row r="22" ht="15" customHeight="1" s="121">
      <c r="A22" s="178" t="inlineStr">
        <is>
          <t>Annualized at max (×12)</t>
        </is>
      </c>
      <c r="E22" s="219">
        <f>MAX(B12:F18)*12</f>
        <v/>
      </c>
      <c r="F22" s="179" t="n"/>
      <c r="G22" s="179" t="n"/>
    </row>
    <row r="23" ht="15" customHeight="1" s="121">
      <c r="A23" s="178" t="inlineStr">
        <is>
          <t>Annualized at current ($9.99 × 40% attach)</t>
        </is>
      </c>
      <c r="E23" s="219">
        <f>C14*12</f>
        <v/>
      </c>
      <c r="F23" s="179" t="n"/>
      <c r="G23" s="179" t="n"/>
    </row>
    <row r="25" ht="39.75" customHeight="1" s="121">
      <c r="A25" s="151" t="inlineStr">
        <is>
          <t>Methodology: Pass revenue = (paying users) × (attach rate) × (price) × (1 − 30% platform cut). This assumes the Pass is purchased once per month per attached paying user. Lifetime impact is higher because Pass-buyers tend to spend more on supplementary IAP — that lift is NOT modeled here.</t>
        </is>
      </c>
    </row>
  </sheetData>
  <mergeCells count="9">
    <mergeCell ref="A23:D23"/>
    <mergeCell ref="A1:G1"/>
    <mergeCell ref="A22:D22"/>
    <mergeCell ref="A21:D21"/>
    <mergeCell ref="A4:G4"/>
    <mergeCell ref="A20:G20"/>
    <mergeCell ref="A2:G2"/>
    <mergeCell ref="A25:G25"/>
    <mergeCell ref="A10:G10"/>
  </mergeCells>
  <conditionalFormatting sqref="B12:F18">
    <cfRule type="colorScale" priority="2">
      <colorScale>
        <cfvo type="min" val="0"/>
        <cfvo type="percentile" val="50"/>
        <cfvo type="max" val="0"/>
        <color rgb="FFF8F8F8"/>
        <color rgb="FFFFE699"/>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F3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20" min="1" max="1"/>
    <col width="38" customWidth="1" style="120" min="2" max="2"/>
    <col width="18" customWidth="1" style="120" min="3" max="4"/>
    <col width="12" customWidth="1" style="120" min="5" max="5"/>
    <col width="50" customWidth="1" style="120" min="6" max="6"/>
  </cols>
  <sheetData>
    <row r="1" ht="19.5" customHeight="1" s="121">
      <c r="A1" s="122" t="inlineStr">
        <is>
          <t>VALIDATION CHECKS</t>
        </is>
      </c>
    </row>
    <row r="2" ht="15" customHeight="1" s="121">
      <c r="A2" s="123" t="inlineStr">
        <is>
          <t>Automated sanity checks across every sheet. Read-only — never modify inputs from here. Green = PASS, yellow = WARN, red = FAIL. Investigate every red row before committing a version.</t>
        </is>
      </c>
    </row>
    <row r="4" ht="27.75" customHeight="1" s="121">
      <c r="A4" s="128" t="inlineStr">
        <is>
          <t>#</t>
        </is>
      </c>
      <c r="B4" s="128" t="inlineStr">
        <is>
          <t>Check name</t>
        </is>
      </c>
      <c r="C4" s="128" t="inlineStr">
        <is>
          <t>Expected</t>
        </is>
      </c>
      <c r="D4" s="128" t="inlineStr">
        <is>
          <t>Actual</t>
        </is>
      </c>
      <c r="E4" s="128" t="inlineStr">
        <is>
          <t>Status</t>
        </is>
      </c>
      <c r="F4" s="128" t="inlineStr">
        <is>
          <t>Notes</t>
        </is>
      </c>
    </row>
    <row r="5" ht="21.75" customHeight="1" s="121">
      <c r="A5" s="129" t="inlineStr">
        <is>
          <t>STRUCTURE</t>
        </is>
      </c>
    </row>
    <row r="6" ht="26.25" customHeight="1" s="121">
      <c r="A6" s="220" t="n">
        <v>1</v>
      </c>
      <c r="B6" s="181" t="inlineStr">
        <is>
          <t>floors_per_zone × zones_count = max_floor</t>
        </is>
      </c>
      <c r="C6" s="221" t="inlineStr">
        <is>
          <t>TRUE</t>
        </is>
      </c>
      <c r="D6" s="222">
        <f>IF(Assumptions!$C$9*Assumptions!$C$8=Assumptions!$C$6,"TRUE","FALSE")</f>
        <v/>
      </c>
      <c r="E6" s="152">
        <f>IF(Assumptions!$C$9*Assumptions!$C$8=Assumptions!$C$6,"PASS","FAIL")</f>
        <v/>
      </c>
      <c r="F6" s="223" t="inlineStr">
        <is>
          <t>If FAIL, the campaign structure is broken — boss floors won't land at zone ends.</t>
        </is>
      </c>
    </row>
    <row r="7" ht="26.25" customHeight="1" s="121">
      <c r="A7" s="130" t="n">
        <v>2</v>
      </c>
      <c r="B7" s="131" t="inlineStr">
        <is>
          <t>boss_every_n_floors = floors_per_zone</t>
        </is>
      </c>
      <c r="C7" s="224" t="inlineStr">
        <is>
          <t>TRUE</t>
        </is>
      </c>
      <c r="D7" s="225">
        <f>IF(Assumptions!$C$53=Assumptions!$C$9,"TRUE","FALSE")</f>
        <v/>
      </c>
      <c r="E7" s="148">
        <f>IF(Assumptions!$C$53=Assumptions!$C$9,"PASS","FAIL")</f>
        <v/>
      </c>
      <c r="F7" s="134" t="inlineStr">
        <is>
          <t>Bosses must coincide with zone boundaries.</t>
        </is>
      </c>
    </row>
    <row r="8" ht="15" customHeight="1" s="121">
      <c r="A8" s="220" t="n">
        <v>3</v>
      </c>
      <c r="B8" s="181" t="inlineStr">
        <is>
          <t>level_cap &gt; max_floor</t>
        </is>
      </c>
      <c r="C8" s="221" t="inlineStr">
        <is>
          <t>TRUE</t>
        </is>
      </c>
      <c r="D8" s="222">
        <f>IF(Assumptions!$C$7&gt;Assumptions!$C$6,"TRUE","FALSE")</f>
        <v/>
      </c>
      <c r="E8" s="152">
        <f>IF(Assumptions!$C$7&gt;Assumptions!$C$6,"PASS","WARN")</f>
        <v/>
      </c>
      <c r="F8" s="223" t="inlineStr">
        <is>
          <t>Level cap should exceed floor count for post-content runway.</t>
        </is>
      </c>
    </row>
    <row r="9" ht="21.75" customHeight="1" s="121">
      <c r="A9" s="129" t="inlineStr">
        <is>
          <t>BALANCE</t>
        </is>
      </c>
    </row>
    <row r="10" ht="26.25" customHeight="1" s="121">
      <c r="A10" s="220" t="n">
        <v>4</v>
      </c>
      <c r="B10" s="181" t="inlineStr">
        <is>
          <t>Enemy HP growth vs player damage growth gap</t>
        </is>
      </c>
      <c r="C10" s="221" t="inlineStr">
        <is>
          <t>&lt; 8 pts</t>
        </is>
      </c>
      <c r="D10" s="222">
        <f>(Assumptions!$C$26-Assumptions!$C$17)</f>
        <v/>
      </c>
      <c r="E10" s="152">
        <f>IF((Assumptions!$C$26-Assumptions!$C$17)&lt;0.08,"PASS",IF((Assumptions!$C$26-Assumptions!$C$17)&lt;0.12,"WARN","FAIL"))</f>
        <v/>
      </c>
      <c r="F10" s="223" t="inlineStr">
        <is>
          <t>Gap &gt;8pts → late-game becomes a slog; &gt;12pts → unplayable without mutations.</t>
        </is>
      </c>
    </row>
    <row r="11" ht="15" customHeight="1" s="121">
      <c r="A11" s="130" t="n">
        <v>5</v>
      </c>
      <c r="B11" s="131" t="inlineStr">
        <is>
          <t>Average enemy turns-to-kill</t>
        </is>
      </c>
      <c r="C11" s="224" t="inlineStr">
        <is>
          <t>3 – 8 turns</t>
        </is>
      </c>
      <c r="D11" s="226">
        <f>'Enemy Stats'!$F$80</f>
        <v/>
      </c>
      <c r="E11" s="148">
        <f>IF(AND('Enemy Stats'!$F$80&gt;=3,'Enemy Stats'!$F$80&lt;=8),"PASS",IF(OR('Enemy Stats'!$F$80&lt;2,'Enemy Stats'!$F$80&gt;12),"FAIL","WARN"))</f>
        <v/>
      </c>
      <c r="F11" s="134" t="inlineStr">
        <is>
          <t>Sweet spot for tactical combat. &lt;3 = trivial; &gt;8 = slow.</t>
        </is>
      </c>
    </row>
    <row r="12" ht="15" customHeight="1" s="121">
      <c r="A12" s="220" t="n">
        <v>6</v>
      </c>
      <c r="B12" s="181" t="inlineStr">
        <is>
          <t>Max enemy turns-to-kill (peak)</t>
        </is>
      </c>
      <c r="C12" s="221" t="inlineStr">
        <is>
          <t>&lt; 50 turns</t>
        </is>
      </c>
      <c r="D12" s="227">
        <f>'Enemy Stats'!$F$81</f>
        <v/>
      </c>
      <c r="E12" s="152">
        <f>IF('Enemy Stats'!$F$81&lt;50,"PASS",IF('Enemy Stats'!$F$81&lt;100,"WARN","FAIL"))</f>
        <v/>
      </c>
      <c r="F12" s="223" t="inlineStr">
        <is>
          <t>Endgame boss difficulty. Mutations must close this gap.</t>
        </is>
      </c>
    </row>
    <row r="13" ht="26.25" customHeight="1" s="121">
      <c r="A13" s="130" t="n">
        <v>7</v>
      </c>
      <c r="B13" s="131" t="inlineStr">
        <is>
          <t>Avg floor time vs target</t>
        </is>
      </c>
      <c r="C13" s="224" t="inlineStr">
        <is>
          <t>Within ±50% of target</t>
        </is>
      </c>
      <c r="D13" s="228">
        <f>'Run Pacing'!$I$48</f>
        <v/>
      </c>
      <c r="E13" s="148">
        <f>IF(ABS('Run Pacing'!$I$48)&lt;Assumptions!$C$54*0.5,"PASS",IF(ABS('Run Pacing'!$I$48)&lt;Assumptions!$C$54*1,"WARN","FAIL"))</f>
        <v/>
      </c>
      <c r="F13" s="134" t="inlineStr">
        <is>
          <t>Delta = actual avg floor time − target. Sign shows over/under.</t>
        </is>
      </c>
    </row>
    <row r="14" ht="21.75" customHeight="1" s="121">
      <c r="A14" s="129" t="inlineStr">
        <is>
          <t>ECONOMY</t>
        </is>
      </c>
    </row>
    <row r="15" ht="15" customHeight="1" s="121">
      <c r="A15" s="130" t="n">
        <v>8</v>
      </c>
      <c r="B15" s="131" t="inlineStr">
        <is>
          <t>Runs to full mutation kit</t>
        </is>
      </c>
      <c r="C15" s="224" t="inlineStr">
        <is>
          <t>5 – 20 runs</t>
        </is>
      </c>
      <c r="D15" s="229">
        <f>'Mutation Costs'!$F$23</f>
        <v/>
      </c>
      <c r="E15" s="148">
        <f>IF(AND('Mutation Costs'!$F$23&gt;=5,'Mutation Costs'!$F$23&lt;=20),"PASS",IF('Mutation Costs'!$F$23&lt;3,"FAIL",IF('Mutation Costs'!$F$23&gt;30,"FAIL","WARN")))</f>
        <v/>
      </c>
      <c r="F15" s="134" t="inlineStr">
        <is>
          <t>&lt;5 runs = no grind pressure → no IAP motive. &gt;20 = frustrating.</t>
        </is>
      </c>
    </row>
    <row r="16" ht="26.25" customHeight="1" s="121">
      <c r="A16" s="220" t="n">
        <v>9</v>
      </c>
      <c r="B16" s="181" t="inlineStr">
        <is>
          <t>Total VEIN per run buys cheapest pack</t>
        </is>
      </c>
      <c r="C16" s="221" t="inlineStr">
        <is>
          <t>≥ 1 small VEIN pack worth</t>
        </is>
      </c>
      <c r="D16" s="222">
        <f>Currencies!$E$50/Assumptions!$C$76</f>
        <v/>
      </c>
      <c r="E16" s="152">
        <f>IF(Currencies!$E$50/Assumptions!$C$76&gt;=1,"PASS",IF(Currencies!$E$50/Assumptions!$C$76&gt;=0.5,"WARN","FAIL"))</f>
        <v/>
      </c>
      <c r="F16" s="223" t="inlineStr">
        <is>
          <t>One run should earn at least what a $1 pack provides — otherwise free play feels worthless.</t>
        </is>
      </c>
    </row>
    <row r="17" ht="15" customHeight="1" s="121">
      <c r="A17" s="130" t="n">
        <v>10</v>
      </c>
      <c r="B17" s="131" t="inlineStr">
        <is>
          <t>Drop probabilities all in [0, 1]</t>
        </is>
      </c>
      <c r="C17" s="224" t="inlineStr">
        <is>
          <t>TRUE</t>
        </is>
      </c>
      <c r="D17" s="225">
        <f>IF(AND(Assumptions!$C$34&lt;=1,Assumptions!$C$35&lt;=1,Assumptions!$C$36&lt;=1,Assumptions!$C$37&lt;=1,Assumptions!$C$39&lt;=1,Assumptions!$C$41&lt;=1,Assumptions!$C$42&lt;=1),"TRUE","FALSE")</f>
        <v/>
      </c>
      <c r="E17" s="148">
        <f>IF(AND(Assumptions!$C$34&lt;=1,Assumptions!$C$35&lt;=1,Assumptions!$C$36&lt;=1,Assumptions!$C$37&lt;=1,Assumptions!$C$39&lt;=1,Assumptions!$C$41&lt;=1,Assumptions!$C$42&lt;=1),"PASS","FAIL")</f>
        <v/>
      </c>
      <c r="F17" s="134" t="inlineStr">
        <is>
          <t>Probabilities must stay in [0,1].</t>
        </is>
      </c>
    </row>
    <row r="18" ht="15" customHeight="1" s="121">
      <c r="A18" s="220" t="n">
        <v>11</v>
      </c>
      <c r="B18" s="181" t="inlineStr">
        <is>
          <t>Rarity ladder: boss rare ≥ elite rare</t>
        </is>
      </c>
      <c r="C18" s="221" t="inlineStr">
        <is>
          <t>TRUE</t>
        </is>
      </c>
      <c r="D18" s="222">
        <f>IF(Assumptions!$C$41&gt;=Assumptions!$C$39,"TRUE","FALSE")</f>
        <v/>
      </c>
      <c r="E18" s="152">
        <f>IF(Assumptions!$C$41&gt;=Assumptions!$C$39,"PASS","FAIL")</f>
        <v/>
      </c>
      <c r="F18" s="223" t="inlineStr">
        <is>
          <t>Higher tiers should have higher rare-drop rates.</t>
        </is>
      </c>
    </row>
    <row r="19" ht="21.75" customHeight="1" s="121">
      <c r="A19" s="129" t="inlineStr">
        <is>
          <t>MONETIZATION</t>
        </is>
      </c>
    </row>
    <row r="20" ht="15" customHeight="1" s="121">
      <c r="A20" s="220" t="n">
        <v>12</v>
      </c>
      <c r="B20" s="181" t="inlineStr">
        <is>
          <t>Median IAP price in $5–$10 range</t>
        </is>
      </c>
      <c r="C20" s="221" t="inlineStr">
        <is>
          <t>$5 – $10</t>
        </is>
      </c>
      <c r="D20" s="230">
        <f>'IAP Catalog'!$C$26</f>
        <v/>
      </c>
      <c r="E20" s="152">
        <f>IF(AND('IAP Catalog'!$C$26&gt;=5,'IAP Catalog'!$C$26&lt;=10),"PASS","WARN")</f>
        <v/>
      </c>
      <c r="F20" s="223" t="inlineStr">
        <is>
          <t>Median outside this range suggests price ladder is skewed.</t>
        </is>
      </c>
    </row>
    <row r="21" ht="26.25" customHeight="1" s="121">
      <c r="A21" s="130" t="n">
        <v>13</v>
      </c>
      <c r="B21" s="131" t="inlineStr">
        <is>
          <t>Pass is best $/min in catalog</t>
        </is>
      </c>
      <c r="C21" s="224" t="inlineStr">
        <is>
          <t>TRUE</t>
        </is>
      </c>
      <c r="D21" s="231">
        <f>'IAP Catalog'!H21/'IAP Catalog'!C21</f>
        <v/>
      </c>
      <c r="E21" s="148">
        <f>IF('IAP Catalog'!H21/'IAP Catalog'!C21&gt;=MAX('IAP Catalog'!H16/'IAP Catalog'!C16,'IAP Catalog'!H17/'IAP Catalog'!C17,'IAP Catalog'!H18/'IAP Catalog'!C18,'IAP Catalog'!H19/'IAP Catalog'!C19,'IAP Catalog'!H20/'IAP Catalog'!C20),"PASS","WARN")</f>
        <v/>
      </c>
      <c r="F21" s="134" t="inlineStr">
        <is>
          <t>The Pass should be the best minutes-saved-per-dollar in the catalog. Fixed in v1.0: previous check compared raw minutes, which is sensitive to absolute price.</t>
        </is>
      </c>
    </row>
    <row r="22" ht="15" customHeight="1" s="121">
      <c r="A22" s="220" t="n">
        <v>14</v>
      </c>
      <c r="B22" s="181" t="inlineStr">
        <is>
          <t>Pass price in $5–$15 range</t>
        </is>
      </c>
      <c r="C22" s="221" t="inlineStr">
        <is>
          <t>$5 – $15</t>
        </is>
      </c>
      <c r="D22" s="230">
        <f>'IAP Catalog'!$C$21</f>
        <v/>
      </c>
      <c r="E22" s="152">
        <f>IF(AND('IAP Catalog'!$C$21&gt;=5,'IAP Catalog'!$C$21&lt;=15),"PASS","WARN")</f>
        <v/>
      </c>
      <c r="F22" s="223" t="inlineStr">
        <is>
          <t>Industry standard for monthly battle pass.</t>
        </is>
      </c>
    </row>
    <row r="23" ht="21.75" customHeight="1" s="121">
      <c r="A23" s="129" t="inlineStr">
        <is>
          <t>BUSINESS MODEL</t>
        </is>
      </c>
    </row>
    <row r="24" ht="26.25" customHeight="1" s="121">
      <c r="A24" s="220" t="n">
        <v>15</v>
      </c>
      <c r="B24" s="181" t="inlineStr">
        <is>
          <t>Target M12 net profit ≥ break-even threshold</t>
        </is>
      </c>
      <c r="C24" s="221" t="inlineStr">
        <is>
          <t>≥ $0</t>
        </is>
      </c>
      <c r="D24" s="232">
        <f>'Cost Projection'!$M$35</f>
        <v/>
      </c>
      <c r="E24" s="152">
        <f>IF('Cost Projection'!$M$35&gt;=0,"PASS",IF('Cost Projection'!$M$35&gt;-10000,"WARN","FAIL"))</f>
        <v/>
      </c>
      <c r="F24" s="223" t="inlineStr">
        <is>
          <t>By M12 Target scenario should at least flirt with monthly profitability.</t>
        </is>
      </c>
    </row>
    <row r="25" ht="21.75" customHeight="1" s="121">
      <c r="A25" s="130" t="n">
        <v>16</v>
      </c>
      <c r="B25" s="131" t="inlineStr">
        <is>
          <t>Target 12-mo ROI ≥ -50%</t>
        </is>
      </c>
      <c r="C25" s="224" t="inlineStr">
        <is>
          <t>≥ -50%</t>
        </is>
      </c>
      <c r="D25" s="228">
        <f>'Cost Projection'!$M$36/'Cost Projection'!$N$33</f>
        <v/>
      </c>
      <c r="E25" s="148">
        <f>IF('Cost Projection'!$M$36/'Cost Projection'!$N$33&gt;=-0.5,"PASS",IF('Cost Projection'!$M$36/'Cost Projection'!$N$33&gt;=-0.75,"WARN","FAIL"))</f>
        <v/>
      </c>
      <c r="F25" s="134" t="inlineStr">
        <is>
          <t>Year-1 ROI worse than -50% suggests inputs too aggressive on costs or too low on revenue.</t>
        </is>
      </c>
    </row>
    <row r="26" ht="26.25" customHeight="1" s="121">
      <c r="A26" s="220" t="n">
        <v>17</v>
      </c>
      <c r="B26" s="181" t="inlineStr">
        <is>
          <t>Firebase cost as % of net rev (Target, 12-mo)</t>
        </is>
      </c>
      <c r="C26" s="221" t="inlineStr">
        <is>
          <t>&lt; 5%</t>
        </is>
      </c>
      <c r="D26" s="233">
        <f>'Cost Projection'!$N$30/'Cost Projection'!$N$34</f>
        <v/>
      </c>
      <c r="E26" s="152">
        <f>IF('Cost Projection'!$N$30/'Cost Projection'!$N$34&lt;0.05,"PASS",IF('Cost Projection'!$N$30/'Cost Projection'!$N$34&lt;0.1,"WARN","FAIL"))</f>
        <v/>
      </c>
      <c r="F26" s="223" t="inlineStr">
        <is>
          <t>Firebase shouldn't eat more than 5% of net revenue.</t>
        </is>
      </c>
    </row>
    <row r="27" ht="21.75" customHeight="1" s="121">
      <c r="A27" s="129" t="inlineStr">
        <is>
          <t>SCENARIO CONSISTENCY</t>
        </is>
      </c>
    </row>
    <row r="28" ht="26.25" customHeight="1" s="121">
      <c r="A28" s="220" t="n">
        <v>18</v>
      </c>
      <c r="B28" s="181" t="inlineStr">
        <is>
          <t>Target ARPPU &gt; Conservative ARPPU &gt; Pessimistic</t>
        </is>
      </c>
      <c r="C28" s="221" t="inlineStr">
        <is>
          <t>TRUE</t>
        </is>
      </c>
      <c r="D28" s="222">
        <f>IF(AND(Assumptions!$C$103&gt;Assumptions!$C$99,Assumptions!$C$99&gt;Assumptions!$C$95),"TRUE","FALSE")</f>
        <v/>
      </c>
      <c r="E28" s="152">
        <f>IF(AND(Assumptions!$C$103&gt;Assumptions!$C$99,Assumptions!$C$99&gt;Assumptions!$C$95),"PASS","FAIL")</f>
        <v/>
      </c>
      <c r="F28" s="223" t="inlineStr">
        <is>
          <t>Scenario ordering must be consistent across all parameters.</t>
        </is>
      </c>
    </row>
    <row r="29" ht="26.25" customHeight="1" s="121">
      <c r="A29" s="130" t="n">
        <v>19</v>
      </c>
      <c r="B29" s="131" t="inlineStr">
        <is>
          <t>Target DAU growth &gt; Conservative &gt; Pessimistic</t>
        </is>
      </c>
      <c r="C29" s="224" t="inlineStr">
        <is>
          <t>TRUE</t>
        </is>
      </c>
      <c r="D29" s="225">
        <f>IF(AND(Assumptions!$C$101&gt;Assumptions!$C$97,Assumptions!$C$97&gt;Assumptions!$C$93),"TRUE","FALSE")</f>
        <v/>
      </c>
      <c r="E29" s="148">
        <f>IF(AND(Assumptions!$C$101&gt;Assumptions!$C$97,Assumptions!$C$97&gt;Assumptions!$C$93),"PASS","FAIL")</f>
        <v/>
      </c>
      <c r="F29" s="134" t="inlineStr">
        <is>
          <t>Scenario ordering check.</t>
        </is>
      </c>
    </row>
    <row r="30" ht="26.25" customHeight="1" s="121">
      <c r="A30" s="220" t="n">
        <v>20</v>
      </c>
      <c r="B30" s="181" t="inlineStr">
        <is>
          <t>Target conversion &gt; Conservative &gt; Pessimistic</t>
        </is>
      </c>
      <c r="C30" s="221" t="inlineStr">
        <is>
          <t>TRUE</t>
        </is>
      </c>
      <c r="D30" s="222">
        <f>IF(AND(Assumptions!$C$102&gt;Assumptions!$C$98,Assumptions!$C$98&gt;Assumptions!$C$94),"TRUE","FALSE")</f>
        <v/>
      </c>
      <c r="E30" s="152">
        <f>IF(AND(Assumptions!$C$102&gt;Assumptions!$C$98,Assumptions!$C$98&gt;Assumptions!$C$94),"PASS","FAIL")</f>
        <v/>
      </c>
      <c r="F30" s="223" t="inlineStr">
        <is>
          <t>Scenario ordering check.</t>
        </is>
      </c>
    </row>
    <row r="32" ht="21.75" customHeight="1" s="121">
      <c r="A32" s="129" t="inlineStr">
        <is>
          <t>OVERALL STATUS</t>
        </is>
      </c>
    </row>
    <row r="33" ht="15" customHeight="1" s="121">
      <c r="B33" s="145" t="inlineStr">
        <is>
          <t>PASS count</t>
        </is>
      </c>
      <c r="C33" s="234">
        <f>COUNTIF(E6:E30,"PASS")</f>
        <v/>
      </c>
    </row>
    <row r="34" ht="15" customHeight="1" s="121">
      <c r="B34" s="145" t="inlineStr">
        <is>
          <t>WARN count</t>
        </is>
      </c>
      <c r="C34" s="235">
        <f>COUNTIF(E6:E30,"WARN")</f>
        <v/>
      </c>
    </row>
    <row r="35" ht="15" customHeight="1" s="121">
      <c r="B35" s="145" t="inlineStr">
        <is>
          <t>FAIL count</t>
        </is>
      </c>
      <c r="C35" s="236">
        <f>COUNTIF(E6:E30,"FAIL")</f>
        <v/>
      </c>
    </row>
    <row r="37" ht="15" customHeight="1" s="121">
      <c r="B37" s="145" t="inlineStr">
        <is>
          <t>Overall verdict</t>
        </is>
      </c>
      <c r="C37" s="237">
        <f>IF(COUNTIF(E6:E30,"FAIL")&gt;0,"BLOCK",IF(COUNTIF(E6:E30,"WARN")&gt;0,"REVIEW","READY"))</f>
        <v/>
      </c>
    </row>
  </sheetData>
  <mergeCells count="9">
    <mergeCell ref="A2:F2"/>
    <mergeCell ref="A19:F19"/>
    <mergeCell ref="A14:F14"/>
    <mergeCell ref="A1:F1"/>
    <mergeCell ref="A5:F5"/>
    <mergeCell ref="A9:F9"/>
    <mergeCell ref="A23:F23"/>
    <mergeCell ref="A27:F27"/>
    <mergeCell ref="A32:F32"/>
  </mergeCells>
  <conditionalFormatting sqref="E6:E30">
    <cfRule type="cellIs" rank="0" priority="2" equalAverage="0" operator="equal" aboveAverage="0" dxfId="0" text="" percent="0" bottom="0">
      <formula>"PASS"</formula>
    </cfRule>
    <cfRule type="cellIs" rank="0" priority="3" equalAverage="0" operator="equal" aboveAverage="0" dxfId="1" text="" percent="0" bottom="0">
      <formula>"WARN"</formula>
    </cfRule>
    <cfRule type="cellIs" rank="0" priority="4" equalAverage="0" operator="equal" aboveAverage="0" dxfId="2" text="" percent="0" bottom="0">
      <formula>"FAIL"</formula>
    </cfRule>
  </conditionalFormatting>
  <conditionalFormatting sqref="C37">
    <cfRule type="cellIs" rank="0" priority="5" equalAverage="0" operator="equal" aboveAverage="0" dxfId="0" text="" percent="0" bottom="0">
      <formula>"READY"</formula>
    </cfRule>
    <cfRule type="cellIs" rank="0" priority="6" equalAverage="0" operator="equal" aboveAverage="0" dxfId="1" text="" percent="0" bottom="0">
      <formula>"REVIEW"</formula>
    </cfRule>
    <cfRule type="cellIs" rank="0" priority="7" equalAverage="0" operator="equal" aboveAverage="0" dxfId="2" text="" percent="0" bottom="0">
      <formula>"BLOCK"</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2026-05-25T06:53:36Z</dcterms:created>
  <dcterms:modified xsi:type="dcterms:W3CDTF">2026-06-08T17:43:30Z</dcterms:modified>
  <cp:revision>0</cp:revision>
</cp:coreProperties>
</file>