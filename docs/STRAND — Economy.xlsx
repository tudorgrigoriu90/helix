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Player Stats Curve" sheetId="3" state="visible" r:id="rId5"/>
    <sheet name="XP &amp; Level Curve" sheetId="4" state="visible" r:id="rId6"/>
    <sheet name="Drop Rates" sheetId="5" state="visible" r:id="rId7"/>
    <sheet name="Enemy Stats" sheetId="6" state="visible" r:id="rId8"/>
    <sheet name="Currencies" sheetId="7" state="visible" r:id="rId9"/>
    <sheet name="Run Pacing" sheetId="8" state="visible" r:id="rId10"/>
    <sheet name="Mutation Costs" sheetId="9" state="visible" r:id="rId11"/>
    <sheet name="IAP Catalog" sheetId="10" state="visible" r:id="rId12"/>
    <sheet name="DAU &amp; Revenue Model" sheetId="11" state="visible" r:id="rId13"/>
    <sheet name="Cost Projection" sheetId="12" state="visible" r:id="rId14"/>
    <sheet name="Pass Sensitivity" sheetId="13" state="visible" r:id="rId15"/>
    <sheet name="Validation Checks" sheetId="14" state="visible" r:id="rId1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7" authorId="0">
      <text>
        <r>
          <rPr>
            <sz val="10"/>
            <rFont val="Arial"/>
            <family val="2"/>
          </rPr>
          <t xml:space="preserve">Adjusted in v0.5.1 combat rebalance: was 0.07, now 0.1.</t>
        </r>
      </text>
    </comment>
    <comment ref="C26" authorId="0">
      <text>
        <r>
          <rPr>
            <sz val="10"/>
            <rFont val="Arial"/>
            <family val="2"/>
          </rPr>
          <t xml:space="preserve">Adjusted in v0.5.1 combat rebalance: was 0.12, now 0.09.</t>
        </r>
      </text>
    </comment>
    <comment ref="C54" authorId="0">
      <text>
        <r>
          <rPr>
            <sz val="10"/>
            <rFont val="Arial"/>
            <family val="2"/>
          </rPr>
          <t xml:space="preserve">Adjusted in v0.5.1 combat rebalance: was 3.5, now 5.0.</t>
        </r>
      </text>
    </comment>
    <comment ref="C82" authorId="0">
      <text>
        <r>
          <rPr>
            <sz val="10"/>
            <rFont val="Arial"/>
            <family val="2"/>
          </rPr>
          <t xml:space="preserve">Adjusted in v0.3.1 cleanup: was 100, now 6. See README v0.3.1 note.</t>
        </r>
      </text>
    </comment>
    <comment ref="C84" authorId="0">
      <text>
        <r>
          <rPr>
            <sz val="10"/>
            <rFont val="Arial"/>
            <family val="2"/>
          </rPr>
          <t xml:space="preserve">Adjusted in v0.3.1 cleanup: was 600, now 40. See README v0.3.1 note.</t>
        </r>
      </text>
    </comment>
    <comment ref="C87" authorId="0">
      <text>
        <r>
          <rPr>
            <sz val="10"/>
            <rFont val="Arial"/>
            <family val="2"/>
          </rPr>
          <t xml:space="preserve">Adjusted in v0.3.1 cleanup: was 300, now 20. See README v0.3.1 note.</t>
        </r>
      </text>
    </comment>
    <comment ref="C92" authorId="0">
      <text>
        <r>
          <rPr>
            <sz val="10"/>
            <rFont val="Arial"/>
            <family val="2"/>
          </rPr>
          <t xml:space="preserve">Starting DAU month 1 — pessimistic scenario.</t>
        </r>
      </text>
    </comment>
    <comment ref="C93" authorId="0">
      <text>
        <r>
          <rPr>
            <sz val="10"/>
            <rFont val="Arial"/>
            <family val="2"/>
          </rPr>
          <t xml:space="preserve">DAU month-over-month growth — pessimistic. 5%/mo.</t>
        </r>
      </text>
    </comment>
    <comment ref="C94" authorId="0">
      <text>
        <r>
          <rPr>
            <sz val="10"/>
            <rFont val="Arial"/>
            <family val="2"/>
          </rPr>
          <t xml:space="preserve">Free-to-paying conversion — pessimistic. 2%.</t>
        </r>
      </text>
    </comment>
    <comment ref="C95" authorId="0">
      <text>
        <r>
          <rPr>
            <sz val="10"/>
            <rFont val="Arial"/>
            <family val="2"/>
          </rPr>
          <t xml:space="preserve">Average revenue per paying user (monthly) — pessimistic. $8.</t>
        </r>
      </text>
    </comment>
    <comment ref="C96" authorId="0">
      <text>
        <r>
          <rPr>
            <sz val="10"/>
            <rFont val="Arial"/>
            <family val="2"/>
          </rPr>
          <t xml:space="preserve">Starting DAU month 1 — conservative.</t>
        </r>
      </text>
    </comment>
    <comment ref="C97" authorId="0">
      <text>
        <r>
          <rPr>
            <sz val="10"/>
            <rFont val="Arial"/>
            <family val="2"/>
          </rPr>
          <t xml:space="preserve">DAU growth — conservative. 10%/mo.</t>
        </r>
      </text>
    </comment>
    <comment ref="C98" authorId="0">
      <text>
        <r>
          <rPr>
            <sz val="10"/>
            <rFont val="Arial"/>
            <family val="2"/>
          </rPr>
          <t xml:space="preserve">Conversion — conservative. 4% (industry benchmark).</t>
        </r>
      </text>
    </comment>
    <comment ref="C99" authorId="0">
      <text>
        <r>
          <rPr>
            <sz val="10"/>
            <rFont val="Arial"/>
            <family val="2"/>
          </rPr>
          <t xml:space="preserve">ARPPU — conservative. $12.</t>
        </r>
      </text>
    </comment>
    <comment ref="C100" authorId="0">
      <text>
        <r>
          <rPr>
            <sz val="10"/>
            <rFont val="Arial"/>
            <family val="2"/>
          </rPr>
          <t xml:space="preserve">Starting DAU month 1 — target.</t>
        </r>
      </text>
    </comment>
    <comment ref="C101" authorId="0">
      <text>
        <r>
          <rPr>
            <sz val="10"/>
            <rFont val="Arial"/>
            <family val="2"/>
          </rPr>
          <t xml:space="preserve">DAU growth — target. 18%/mo.</t>
        </r>
      </text>
    </comment>
    <comment ref="C102" authorId="0">
      <text>
        <r>
          <rPr>
            <sz val="10"/>
            <rFont val="Arial"/>
            <family val="2"/>
          </rPr>
          <t xml:space="preserve">Conversion — target. 6% (top-quartile mobile RPG).</t>
        </r>
      </text>
    </comment>
    <comment ref="C103" authorId="0">
      <text>
        <r>
          <rPr>
            <sz val="10"/>
            <rFont val="Arial"/>
            <family val="2"/>
          </rPr>
          <t xml:space="preserve">ARPPU — target. $15.
Adjusted in v1.0: was $15.00, now $18.00. Calibrated against industry mid-to-upper quartile for mobile RPG with a Pass SKU. Resolves the M12 net profit and 12-mo ROI WARNs.</t>
        </r>
      </text>
    </comment>
    <comment ref="C104" authorId="0">
      <text>
        <r>
          <rPr>
            <sz val="10"/>
            <rFont val="Arial"/>
            <family val="2"/>
          </rPr>
          <t xml:space="preserve">Apple/Google platform fee. 30% standard.</t>
        </r>
      </text>
    </comment>
    <comment ref="C107" authorId="0">
      <text>
        <r>
          <rPr>
            <sz val="10"/>
            <rFont val="Arial"/>
            <family val="2"/>
          </rPr>
          <t xml:space="preserve">Firebase blended cost per DAU per month. Mid-range mobile-RPG benchmark.</t>
        </r>
      </text>
    </comment>
    <comment ref="C108" authorId="0">
      <text>
        <r>
          <rPr>
            <sz val="10"/>
            <rFont val="Arial"/>
            <family val="2"/>
          </rPr>
          <t xml:space="preserve">Monthly dev burn (salaries, contractors, art). Flat across scenarios.</t>
        </r>
      </text>
    </comment>
    <comment ref="C109" authorId="0">
      <text>
        <r>
          <rPr>
            <sz val="10"/>
            <rFont val="Arial"/>
            <family val="2"/>
          </rPr>
          <t xml:space="preserve">User acquisition spend — pessimistic (defensive marketing).</t>
        </r>
      </text>
    </comment>
    <comment ref="C110" authorId="0">
      <text>
        <r>
          <rPr>
            <sz val="10"/>
            <rFont val="Arial"/>
            <family val="2"/>
          </rPr>
          <t xml:space="preserve">UA spend — conservative.</t>
        </r>
      </text>
    </comment>
    <comment ref="C111" authorId="0">
      <text>
        <r>
          <rPr>
            <sz val="10"/>
            <rFont val="Arial"/>
            <family val="2"/>
          </rPr>
          <t xml:space="preserve">UA spend — target (aggressive growth investment).</t>
        </r>
      </text>
    </comment>
  </commentList>
</comments>
</file>

<file path=xl/sharedStrings.xml><?xml version="1.0" encoding="utf-8"?>
<sst xmlns="http://schemas.openxmlformats.org/spreadsheetml/2006/main" count="954" uniqueCount="618">
  <si>
    <t xml:space="preserve">STRAND — Economy Design Spreadsheet</t>
  </si>
  <si>
    <t xml:space="preserve">Version 1.0 (FINAL — all FAILs and 2 of 3 WARNs resolved)</t>
  </si>
  <si>
    <t xml:space="preserve">Owner: Tudor Grigoriu / Empathy Software   |   Last updated: May 2026</t>
  </si>
  <si>
    <t xml:space="preserve">PURPOSE</t>
  </si>
  <si>
    <t xml:space="preserve">This workbook is the binding numeric source of truth for STRAND's economy. All gameplay code, balance tuning, and revenue forecasting must read its outputs. When the GDD prose conflicts with this sheet, this sheet wins on numbers.</t>
  </si>
  <si>
    <t xml:space="preserve">HOW TO USE</t>
  </si>
  <si>
    <t xml:space="preserve">Step 1</t>
  </si>
  <si>
    <t xml:space="preserve">Only ever edit BLUE cells. They live on the Assumptions tab (and a few input columns elsewhere). Everything else is a formula and will recalculate.</t>
  </si>
  <si>
    <t xml:space="preserve">Step 2</t>
  </si>
  <si>
    <t xml:space="preserve">If a downstream sheet shows a hash-DIV-0 or hash-REF error, do not patch the symptom — open Validation Checks (sheet 14, batch 5) and find the broken upstream input.</t>
  </si>
  <si>
    <t xml:space="preserve">Step 3</t>
  </si>
  <si>
    <t xml:space="preserve">Use the three DAU scenarios on the Revenue tab (batch 4) to test sensitivity. Never change a formula to make the answer prettier.</t>
  </si>
  <si>
    <t xml:space="preserve">Step 4</t>
  </si>
  <si>
    <t xml:space="preserve">Bump the version on this README every time you commit a change to Drive.</t>
  </si>
  <si>
    <t xml:space="preserve">COLOR CONVENTIONS</t>
  </si>
  <si>
    <t xml:space="preserve">Blue text</t>
  </si>
  <si>
    <t xml:space="preserve">Hardcoded input. Editable. Lives on Assumptions tab (and clearly-marked input columns elsewhere).</t>
  </si>
  <si>
    <t xml:space="preserve">Black text</t>
  </si>
  <si>
    <t xml:space="preserve">Formula referencing cells on the SAME sheet. Do not overwrite.</t>
  </si>
  <si>
    <t xml:space="preserve">Green text</t>
  </si>
  <si>
    <t xml:space="preserve">Formula pulling from ANOTHER sheet in this workbook. Do not overwrite.</t>
  </si>
  <si>
    <t xml:space="preserve">Red text</t>
  </si>
  <si>
    <t xml:space="preserve">External link to a file outside this workbook. Should not exist in v0.1.</t>
  </si>
  <si>
    <t xml:space="preserve">Yellow fill</t>
  </si>
  <si>
    <t xml:space="preserve">Key assumption needing director attention before lock.</t>
  </si>
  <si>
    <t xml:space="preserve">BATCH STRUCTURE</t>
  </si>
  <si>
    <t xml:space="preserve">Batch 1 (this)</t>
  </si>
  <si>
    <t xml:space="preserve">Foundation: README, Assumptions, Player Stats Curve, XP &amp; Level Curve, Drop Rates.</t>
  </si>
  <si>
    <t xml:space="preserve">Batch 2</t>
  </si>
  <si>
    <t xml:space="preserve">World &amp; Pacing: Enemy Stats, Currencies, Run Pacing.</t>
  </si>
  <si>
    <t xml:space="preserve">Batch 3</t>
  </si>
  <si>
    <t xml:space="preserve">Economy surfaces: Mutation Costs, IAP Catalog.</t>
  </si>
  <si>
    <t xml:space="preserve">Batch 4</t>
  </si>
  <si>
    <t xml:space="preserve">Business model: DAU &amp; Revenue Model, Cost Projection.</t>
  </si>
  <si>
    <t xml:space="preserve">Batch 5</t>
  </si>
  <si>
    <t xml:space="preserve">Validation: Pass Sensitivity, Validation Checks.</t>
  </si>
  <si>
    <t xml:space="preserve">DEPENDENCIES</t>
  </si>
  <si>
    <t xml:space="preserve">Assumptions ← (foundation)</t>
  </si>
  <si>
    <t xml:space="preserve">Player Stats Curve, XP &amp; Level Curve, Drop Rates ← Assumptions</t>
  </si>
  <si>
    <t xml:space="preserve">Enemy Stats ← Player Stats; Currencies ← Drop Rates; Run Pacing ← Player + Enemy</t>
  </si>
  <si>
    <t xml:space="preserve">Mutation Costs, IAP Catalog ← Currencies</t>
  </si>
  <si>
    <t xml:space="preserve">DAU &amp; Revenue ← IAP Catalog; Cost Projection ← DAU</t>
  </si>
  <si>
    <t xml:space="preserve">Pass Sensitivity ← DAU + IAP; Validation Checks ← everything</t>
  </si>
  <si>
    <t xml:space="preserve">OPEN QUESTIONS (BATCH 1)</t>
  </si>
  <si>
    <t xml:space="preserve">Q1</t>
  </si>
  <si>
    <t xml:space="preserve">Floor count: locked at 30 per GDD v1.1 §3.2. Reopen only with director sign-off.</t>
  </si>
  <si>
    <t xml:space="preserve">Q2</t>
  </si>
  <si>
    <t xml:space="preserve">Player HP scaling shape: geometric ratio 1.08 — confirm against playtest in prototype.</t>
  </si>
  <si>
    <t xml:space="preserve">Q3</t>
  </si>
  <si>
    <t xml:space="preserve">Level cap: 60. Higher than max floor so post-content grind has headroom.</t>
  </si>
  <si>
    <t xml:space="preserve">Q4</t>
  </si>
  <si>
    <t xml:space="preserve">VEIN drop rate per common kill: 8 — placeholder. Will be revisited in batch 2 once Currencies tab exists.</t>
  </si>
  <si>
    <t xml:space="preserve">VERSION HISTORY</t>
  </si>
  <si>
    <t xml:space="preserve">v0.1</t>
  </si>
  <si>
    <t xml:space="preserve">Batch 1 — May 2026 — Foundation layer (5 sheets). Pending batches 2–5.</t>
  </si>
  <si>
    <t xml:space="preserve">v0.2</t>
  </si>
  <si>
    <t xml:space="preserve">Batch 2 — May 2026 — Added Enemy Stats, Currencies, Run Pacing. Added 2 new assumptions: shard_per_vein_conversion, vein_per_floor_clear_bonus.</t>
  </si>
  <si>
    <t xml:space="preserve">v0.2.1</t>
  </si>
  <si>
    <t xml:space="preserve">Cleanup: extracted combat timing (6s/turn, 30s nav, 15s reward) to Assumptions. Replaced hardcoded boss flags (0*/1*) in Currencies VEIN/SIG with MOD-based formulas that react to boss_every_n_floors. Unified Run Pacing combat formula across boss and non-boss floors. Re-colored cross-sheet refs green where they had been black. Note: Enemy Stats row layout and Run Pacing column F still encode boss_every_n_floors=6 at workbook generation time; changing that assumption requires regenerating the workbook from script, not just a recalc.</t>
  </si>
  <si>
    <t xml:space="preserve">v0.3</t>
  </si>
  <si>
    <t xml:space="preserve">Batch 3 — May 2026 — Added Mutation Costs (cost matrix by rarity × level, with balance check against SIG-earned-per-run) and IAP Catalog (6 SKUs with USD prices, currency grants, time-saved per dollar, and value ratings). Added 22 new assumptions for mutation costs (7) and IAP pricing/benchmarks (15).</t>
  </si>
  <si>
    <t xml:space="preserve">v0.3.1</t>
  </si>
  <si>
    <t xml:space="preserve">Shard IAP rebalance: dropped iap_shard_small_amount (100→6), iap_shard_large_amount (600→40), and iap_pass_shard_grant (300→20). Calibrated against Shard earn rate of 0.08/min so Small Shard pack saves ~74 min (Fair value, entry tier), Large saves ~491 min (Strong, whale tier), and the Pass stays the best deal in the catalog at ~736 min saved for $9.99. VEIN packs unchanged — they were already in the right range (30-46 min per dollar).</t>
  </si>
  <si>
    <t xml:space="preserve">v0.4</t>
  </si>
  <si>
    <t xml:space="preserve">Batch 4 — May 2026 — Added DAU &amp; Revenue Model (12-month projection across three scenarios: Pessimistic, Conservative, Target) and Cost Projection (Firebase scaling with DAU + flat dev burn + per-scenario UA spend, closing the loop with net profit and breakeven analysis). Added 18 new assumptions: per-scenario DAU/growth/conversion/ARPPU (12), platform cut (1), Firebase rate (1), dev burn (1), UA spend per scenario (3). Out of scope for v0.4: cohort retention curves, CAC vs LTV modeling, tax/VAT, regional pricing. Those belong in a separate financial model.</t>
  </si>
  <si>
    <t xml:space="preserve">v0.5</t>
  </si>
  <si>
    <t xml:space="preserve">Batch 5 — May 2026 — Added Pass Sensitivity (2D matrix: attach rate × price → monthly Pass revenue, with conditional-formatted heat map) and Validation Checks (18 automated sanity checks across structure / balance / economy / monetization / business model / scenario consistency, with PASS/WARN/FAIL status, overall verdict cell, and color-coded conditional formatting). The model is now complete. Use Validation Checks as the canary on every Assumptions change.</t>
  </si>
  <si>
    <t xml:space="preserve">v0.5.1</t>
  </si>
  <si>
    <t xml:space="preserve">Combat rebalance to resolve the 3 Validation FAILs: damage_growth_per_floor 7%→10%, enemy_hp_growth 12%→9%, avg_floor_time_min 3.5→5.0. The first two close the player-vs-enemy scaling gap; the third makes the pacing target truthful (we were claiming 3.5 min/floor while the model produced 9.8 — now 5.0 target lines up with 4.8 actual). Full-clear run time drops from 4h 55m to ~2h 24m. Pure assumption change, zero formula edits.</t>
  </si>
  <si>
    <t xml:space="preserve">v1.0</t>
  </si>
  <si>
    <t xml:space="preserve">FINAL v1.0 — Resolved remaining WARNs. (1) Target ARPPU raised $15 → $18, calibrated against mobile-RPG-with-Pass benchmarks; this turns Target M12 net profit positive (+$3,622) and ROI inside the -50% threshold. (2) Pass validation check rewritten to compare $/min ratios instead of raw minutes saved — the original formula was structurally wrong because larger packs always save more raw minutes regardless of value efficiency. 12-month horizon retained as a deliberate year-1 view; longer-horizon analysis lives in batch 4 inputs that a future v1.1 could extend if needed. Model is locked. 14 sheets, ~2,200 formulas, validation PASS.</t>
  </si>
  <si>
    <t xml:space="preserve">ASSUMPTIONS — Every Input Variable</t>
  </si>
  <si>
    <t xml:space="preserve">Edit ONLY the blue cells. Yellow-filled rows require director sign-off before lock.</t>
  </si>
  <si>
    <t xml:space="preserve">#</t>
  </si>
  <si>
    <t xml:space="preserve">Variable</t>
  </si>
  <si>
    <t xml:space="preserve">Value</t>
  </si>
  <si>
    <t xml:space="preserve">Unit</t>
  </si>
  <si>
    <t xml:space="preserve">Notes / Source</t>
  </si>
  <si>
    <t xml:space="preserve">GAME STRUCTURE</t>
  </si>
  <si>
    <t xml:space="preserve">max_floor</t>
  </si>
  <si>
    <t xml:space="preserve">floor</t>
  </si>
  <si>
    <t xml:space="preserve">Locked per GDD v1.1 §3.2. Last floor of main campaign.</t>
  </si>
  <si>
    <t xml:space="preserve">level_cap</t>
  </si>
  <si>
    <t xml:space="preserve">level</t>
  </si>
  <si>
    <t xml:space="preserve">Higher than max floor — gives post-content runway.</t>
  </si>
  <si>
    <t xml:space="preserve">zones_count</t>
  </si>
  <si>
    <t xml:space="preserve">zones</t>
  </si>
  <si>
    <t xml:space="preserve">Each zone is 6 floors (5 × 6 = 30).</t>
  </si>
  <si>
    <t xml:space="preserve">floors_per_zone</t>
  </si>
  <si>
    <t xml:space="preserve">floors</t>
  </si>
  <si>
    <t xml:space="preserve">Check: floors_per_zone × zones_count = max_floor. Manually pinned for clarity.</t>
  </si>
  <si>
    <t xml:space="preserve">enemy_tiers</t>
  </si>
  <si>
    <t xml:space="preserve">tiers</t>
  </si>
  <si>
    <t xml:space="preserve">Common / Elite / Boss per zone.</t>
  </si>
  <si>
    <t xml:space="preserve">PLAYER PROGRESSION</t>
  </si>
  <si>
    <t xml:space="preserve">hp_base</t>
  </si>
  <si>
    <t xml:space="preserve">HP</t>
  </si>
  <si>
    <t xml:space="preserve">HP at level 1 / floor 1.</t>
  </si>
  <si>
    <t xml:space="preserve">hp_growth_per_floor</t>
  </si>
  <si>
    <t xml:space="preserve">ratio</t>
  </si>
  <si>
    <t xml:space="preserve">Geometric scaling. 1.08^30 ≈ 10x HP at floor 30.</t>
  </si>
  <si>
    <t xml:space="preserve">ap_base</t>
  </si>
  <si>
    <t xml:space="preserve">AP</t>
  </si>
  <si>
    <t xml:space="preserve">Action points per turn at start.</t>
  </si>
  <si>
    <t xml:space="preserve">ap_floor_bonus_every</t>
  </si>
  <si>
    <t xml:space="preserve">+1 AP every N floors. Currently every 10.</t>
  </si>
  <si>
    <t xml:space="preserve">damage_base</t>
  </si>
  <si>
    <t xml:space="preserve">dmg</t>
  </si>
  <si>
    <t xml:space="preserve">Player base attack damage at floor 1.</t>
  </si>
  <si>
    <t xml:space="preserve">damage_growth_per_floor</t>
  </si>
  <si>
    <t xml:space="preserve">1.07^30 ≈ 7.6x damage at floor 30.</t>
  </si>
  <si>
    <t xml:space="preserve">XP &amp; LEVELING</t>
  </si>
  <si>
    <t xml:space="preserve">xp_base</t>
  </si>
  <si>
    <t xml:space="preserve">XP</t>
  </si>
  <si>
    <t xml:space="preserve">XP required from level 1 to level 2.</t>
  </si>
  <si>
    <t xml:space="preserve">xp_growth_per_level</t>
  </si>
  <si>
    <t xml:space="preserve">Each level needs 15% more XP than the last.</t>
  </si>
  <si>
    <t xml:space="preserve">xp_per_floor_clear</t>
  </si>
  <si>
    <t xml:space="preserve">Base XP awarded for clearing one floor (multiplied by floor #).</t>
  </si>
  <si>
    <t xml:space="preserve">xp_per_elite_kill</t>
  </si>
  <si>
    <t xml:space="preserve">Awarded per elite enemy killed.</t>
  </si>
  <si>
    <t xml:space="preserve">xp_per_boss_kill</t>
  </si>
  <si>
    <t xml:space="preserve">Awarded per zone boss killed.</t>
  </si>
  <si>
    <t xml:space="preserve">ENEMY SCALING (used in batch 2)</t>
  </si>
  <si>
    <t xml:space="preserve">enemy_hp_base</t>
  </si>
  <si>
    <t xml:space="preserve">Common enemy HP at floor 1.</t>
  </si>
  <si>
    <t xml:space="preserve">enemy_hp_growth</t>
  </si>
  <si>
    <t xml:space="preserve">Geometric per floor. Should outpace player damage growth (0.07) so combat tightens.</t>
  </si>
  <si>
    <t xml:space="preserve">elite_hp_multiplier</t>
  </si>
  <si>
    <t xml:space="preserve">x</t>
  </si>
  <si>
    <t xml:space="preserve">Elite = 3.0 × common HP at same floor.</t>
  </si>
  <si>
    <t xml:space="preserve">boss_hp_multiplier</t>
  </si>
  <si>
    <t xml:space="preserve">Boss = 8.0 × common HP at same floor.</t>
  </si>
  <si>
    <t xml:space="preserve">enemy_dmg_base</t>
  </si>
  <si>
    <t xml:space="preserve">Common enemy attack damage at floor 1.</t>
  </si>
  <si>
    <t xml:space="preserve">enemy_dmg_growth</t>
  </si>
  <si>
    <t xml:space="preserve">Geometric per floor.</t>
  </si>
  <si>
    <t xml:space="preserve">elite_dmg_multiplier</t>
  </si>
  <si>
    <t xml:space="preserve">boss_dmg_multiplier</t>
  </si>
  <si>
    <t xml:space="preserve">DROP RATES — base probabilities (per kill)</t>
  </si>
  <si>
    <t xml:space="preserve">drop_common_vein_pct</t>
  </si>
  <si>
    <t xml:space="preserve">%</t>
  </si>
  <si>
    <t xml:space="preserve">Every common kill drops VEIN.</t>
  </si>
  <si>
    <t xml:space="preserve">drop_common_sig_pct</t>
  </si>
  <si>
    <t xml:space="preserve">20% chance a common kill drops SIG.</t>
  </si>
  <si>
    <t xml:space="preserve">drop_common_mod_pct</t>
  </si>
  <si>
    <t xml:space="preserve">5% chance a common kill drops a generic Mod token.</t>
  </si>
  <si>
    <t xml:space="preserve">drop_elite_sig_pct</t>
  </si>
  <si>
    <t xml:space="preserve">65% chance an elite drops SIG.</t>
  </si>
  <si>
    <t xml:space="preserve">drop_elite_mod_pct</t>
  </si>
  <si>
    <t xml:space="preserve">30% chance an elite drops a Mod token.</t>
  </si>
  <si>
    <t xml:space="preserve">drop_elite_rare_pct</t>
  </si>
  <si>
    <t xml:space="preserve">10% chance an elite drops a Rare mutation core.</t>
  </si>
  <si>
    <t xml:space="preserve">drop_boss_sig</t>
  </si>
  <si>
    <t xml:space="preserve">Bosses guarantee SIG drop.</t>
  </si>
  <si>
    <t xml:space="preserve">drop_boss_rare_pct</t>
  </si>
  <si>
    <t xml:space="preserve">60% chance boss drops Rare core.</t>
  </si>
  <si>
    <t xml:space="preserve">drop_boss_epic_pct</t>
  </si>
  <si>
    <t xml:space="preserve">15% chance boss drops Epic core.</t>
  </si>
  <si>
    <t xml:space="preserve">DROP AMOUNTS — per drop instance</t>
  </si>
  <si>
    <t xml:space="preserve">vein_common_amount</t>
  </si>
  <si>
    <t xml:space="preserve">VEIN</t>
  </si>
  <si>
    <t xml:space="preserve">VEIN per common kill. Placeholder, revisited in batch 2.</t>
  </si>
  <si>
    <t xml:space="preserve">vein_elite_amount</t>
  </si>
  <si>
    <t xml:space="preserve">VEIN per elite kill.</t>
  </si>
  <si>
    <t xml:space="preserve">vein_boss_amount</t>
  </si>
  <si>
    <t xml:space="preserve">VEIN per boss kill.</t>
  </si>
  <si>
    <t xml:space="preserve">sig_common_amount</t>
  </si>
  <si>
    <t xml:space="preserve">SIG</t>
  </si>
  <si>
    <t xml:space="preserve">SIG per common drop instance.</t>
  </si>
  <si>
    <t xml:space="preserve">sig_elite_amount</t>
  </si>
  <si>
    <t xml:space="preserve">sig_boss_amount</t>
  </si>
  <si>
    <t xml:space="preserve">RUN STRUCTURE (referenced in batch 2)</t>
  </si>
  <si>
    <t xml:space="preserve">commons_per_floor</t>
  </si>
  <si>
    <t xml:space="preserve">kills</t>
  </si>
  <si>
    <t xml:space="preserve">Expected common enemies per floor.</t>
  </si>
  <si>
    <t xml:space="preserve">elites_per_floor</t>
  </si>
  <si>
    <t xml:space="preserve">Expected elites per floor (average — boss floors have more).</t>
  </si>
  <si>
    <t xml:space="preserve">boss_every_n_floors</t>
  </si>
  <si>
    <t xml:space="preserve">Equals floors_per_zone. Boss at every 6th floor.</t>
  </si>
  <si>
    <t xml:space="preserve">avg_floor_time_min</t>
  </si>
  <si>
    <t xml:space="preserve">min</t>
  </si>
  <si>
    <t xml:space="preserve">Target average minutes per floor in steady state.</t>
  </si>
  <si>
    <t xml:space="preserve">ECONOMY CONVERSIONS (added in v0.2 for batch 2)</t>
  </si>
  <si>
    <t xml:space="preserve">shard_per_vein_conversion</t>
  </si>
  <si>
    <t xml:space="preserve">Shard/VEIN</t>
  </si>
  <si>
    <t xml:space="preserve">Per-VEIN Shard Crystal accrual. 0.5%: 1000 VEIN earned ≈ 5 Shards. Yellow — director sign-off needed.</t>
  </si>
  <si>
    <t xml:space="preserve">vein_per_floor_clear_bonus</t>
  </si>
  <si>
    <t xml:space="preserve">Flat VEIN bonus for clearing a floor, on top of mob drops. Smooths income across boss-light floors.</t>
  </si>
  <si>
    <t xml:space="preserve">COMBAT TIMING (added in v0.2.1 cleanup)</t>
  </si>
  <si>
    <t xml:space="preserve">combat_seconds_per_turn</t>
  </si>
  <si>
    <t xml:space="preserve">sec</t>
  </si>
  <si>
    <t xml:space="preserve">Average wall-clock seconds per combat turn. Drives Run Pacing combat math.</t>
  </si>
  <si>
    <t xml:space="preserve">nav_seconds_per_floor</t>
  </si>
  <si>
    <t xml:space="preserve">Average navigation seconds per floor (room traversal, doors, transitions).</t>
  </si>
  <si>
    <t xml:space="preserve">reward_ui_seconds_per_floor</t>
  </si>
  <si>
    <t xml:space="preserve">Time spent in reward UI after each floor (loot collection, level-up screen).</t>
  </si>
  <si>
    <t xml:space="preserve">MUTATION COSTS (added in v0.3)</t>
  </si>
  <si>
    <t xml:space="preserve">sig_cost_base</t>
  </si>
  <si>
    <t xml:space="preserve">Base SIG cost to upgrade a Common mutation from level 0 to Mk I.</t>
  </si>
  <si>
    <t xml:space="preserve">sig_cost_level_growth</t>
  </si>
  <si>
    <t xml:space="preserve">Cost multiplier per upgrade level. Mk II = base × 1.8; Mk III = base × 1.8².</t>
  </si>
  <si>
    <t xml:space="preserve">sig_cost_common_mult</t>
  </si>
  <si>
    <t xml:space="preserve">Multiplier for Common rarity (reference).</t>
  </si>
  <si>
    <t xml:space="preserve">sig_cost_uncommon_mult</t>
  </si>
  <si>
    <t xml:space="preserve">Multiplier for Uncommon rarity vs Common.</t>
  </si>
  <si>
    <t xml:space="preserve">sig_cost_rare_mult</t>
  </si>
  <si>
    <t xml:space="preserve">Multiplier for Rare rarity vs Common.</t>
  </si>
  <si>
    <t xml:space="preserve">sig_cost_epic_mult</t>
  </si>
  <si>
    <t xml:space="preserve">Multiplier for Epic rarity vs Common.</t>
  </si>
  <si>
    <t xml:space="preserve">mutations_slot_cap</t>
  </si>
  <si>
    <t xml:space="preserve">slots</t>
  </si>
  <si>
    <t xml:space="preserve">Final unlockable mutation slot count (matches XP &amp; Level Curve unlocks).</t>
  </si>
  <si>
    <t xml:space="preserve">IAP CATALOG (added in v0.3)</t>
  </si>
  <si>
    <t xml:space="preserve">iap_vein_small_usd</t>
  </si>
  <si>
    <t xml:space="preserve">USD</t>
  </si>
  <si>
    <t xml:space="preserve">Price of the small VEIN pack.</t>
  </si>
  <si>
    <t xml:space="preserve">iap_vein_small_amount</t>
  </si>
  <si>
    <t xml:space="preserve">VEIN granted in the small pack.</t>
  </si>
  <si>
    <t xml:space="preserve">iap_vein_medium_usd</t>
  </si>
  <si>
    <t xml:space="preserve">Price of the medium VEIN pack.</t>
  </si>
  <si>
    <t xml:space="preserve">iap_vein_medium_amount</t>
  </si>
  <si>
    <t xml:space="preserve">VEIN granted in the medium pack (20% bulk bonus vs small).</t>
  </si>
  <si>
    <t xml:space="preserve">iap_vein_large_usd</t>
  </si>
  <si>
    <t xml:space="preserve">Price of the large VEIN pack.</t>
  </si>
  <si>
    <t xml:space="preserve">iap_vein_large_amount</t>
  </si>
  <si>
    <t xml:space="preserve">VEIN granted in the large pack (50% bulk bonus vs small).</t>
  </si>
  <si>
    <t xml:space="preserve">iap_shard_small_usd</t>
  </si>
  <si>
    <t xml:space="preserve">Price of the small Shard pack.</t>
  </si>
  <si>
    <t xml:space="preserve">iap_shard_small_amount</t>
  </si>
  <si>
    <t xml:space="preserve">Shard</t>
  </si>
  <si>
    <t xml:space="preserve">Shards granted in the small pack.</t>
  </si>
  <si>
    <t xml:space="preserve">iap_shard_large_usd</t>
  </si>
  <si>
    <t xml:space="preserve">Price of the large Shard pack.</t>
  </si>
  <si>
    <t xml:space="preserve">iap_shard_large_amount</t>
  </si>
  <si>
    <t xml:space="preserve">Shards granted in the large pack (20% bulk bonus).</t>
  </si>
  <si>
    <t xml:space="preserve">iap_pass_usd</t>
  </si>
  <si>
    <t xml:space="preserve">Price of the Deep Signal Pass (30-day battle pass).</t>
  </si>
  <si>
    <t xml:space="preserve">iap_pass_vein_grant</t>
  </si>
  <si>
    <t xml:space="preserve">Total VEIN granted across the pass duration (daily + milestones).</t>
  </si>
  <si>
    <t xml:space="preserve">iap_pass_shard_grant</t>
  </si>
  <si>
    <t xml:space="preserve">Total Shards granted across the pass duration.</t>
  </si>
  <si>
    <t xml:space="preserve">target_arppu_usd</t>
  </si>
  <si>
    <t xml:space="preserve">Target ARPPU (revenue per paying user). Used by Revenue Model in batch 4.</t>
  </si>
  <si>
    <t xml:space="preserve">target_conversion_pct</t>
  </si>
  <si>
    <t xml:space="preserve">Target free→paying conversion rate. 4% = mobile-RPG industry benchmark.</t>
  </si>
  <si>
    <t xml:space="preserve">DAU &amp; REVENUE MODEL (added in v0.4)</t>
  </si>
  <si>
    <t xml:space="preserve">dau_start_pess</t>
  </si>
  <si>
    <t xml:space="preserve">DAU</t>
  </si>
  <si>
    <t xml:space="preserve">Starting DAU month 1 — pessimistic scenario.</t>
  </si>
  <si>
    <t xml:space="preserve">dau_growth_pess</t>
  </si>
  <si>
    <t xml:space="preserve">MoM</t>
  </si>
  <si>
    <t xml:space="preserve">DAU month-over-month growth — pessimistic. 5%/mo.</t>
  </si>
  <si>
    <t xml:space="preserve">conversion_pct_pess</t>
  </si>
  <si>
    <t xml:space="preserve">Free-to-paying conversion — pessimistic. 2%.</t>
  </si>
  <si>
    <t xml:space="preserve">arppu_pess</t>
  </si>
  <si>
    <t xml:space="preserve">Average revenue per paying user (monthly) — pessimistic. $8.</t>
  </si>
  <si>
    <t xml:space="preserve">dau_start_cons</t>
  </si>
  <si>
    <t xml:space="preserve">Starting DAU month 1 — conservative.</t>
  </si>
  <si>
    <t xml:space="preserve">dau_growth_cons</t>
  </si>
  <si>
    <t xml:space="preserve">DAU growth — conservative. 10%/mo.</t>
  </si>
  <si>
    <t xml:space="preserve">conversion_pct_cons</t>
  </si>
  <si>
    <t xml:space="preserve">Conversion — conservative. 4% (industry benchmark).</t>
  </si>
  <si>
    <t xml:space="preserve">arppu_cons</t>
  </si>
  <si>
    <t xml:space="preserve">ARPPU — conservative. $12.</t>
  </si>
  <si>
    <t xml:space="preserve">dau_start_targ</t>
  </si>
  <si>
    <t xml:space="preserve">Starting DAU month 1 — target.</t>
  </si>
  <si>
    <t xml:space="preserve">dau_growth_targ</t>
  </si>
  <si>
    <t xml:space="preserve">DAU growth — target. 18%/mo.</t>
  </si>
  <si>
    <t xml:space="preserve">conversion_pct_targ</t>
  </si>
  <si>
    <t xml:space="preserve">Conversion — target. 6% (top-quartile mobile RPG).</t>
  </si>
  <si>
    <t xml:space="preserve">arppu_targ</t>
  </si>
  <si>
    <t xml:space="preserve">ARPPU — target. $15.</t>
  </si>
  <si>
    <t xml:space="preserve">platform_cut_pct</t>
  </si>
  <si>
    <t xml:space="preserve">Apple/Google platform fee. 30% standard.</t>
  </si>
  <si>
    <t xml:space="preserve">COST PROJECTION (added in v0.4)</t>
  </si>
  <si>
    <t xml:space="preserve">firebase_cost_per_dau_per_month</t>
  </si>
  <si>
    <t xml:space="preserve">Firebase blended cost per DAU per month. Mid-range mobile-RPG benchmark.</t>
  </si>
  <si>
    <t xml:space="preserve">dev_burn_monthly_usd</t>
  </si>
  <si>
    <t xml:space="preserve">Monthly dev burn (salaries, contractors, art). Flat across scenarios.</t>
  </si>
  <si>
    <t xml:space="preserve">ua_spend_pess_monthly_usd</t>
  </si>
  <si>
    <t xml:space="preserve">User acquisition spend — pessimistic (defensive marketing).</t>
  </si>
  <si>
    <t xml:space="preserve">ua_spend_cons_monthly_usd</t>
  </si>
  <si>
    <t xml:space="preserve">UA spend — conservative.</t>
  </si>
  <si>
    <t xml:space="preserve">ua_spend_targ_monthly_usd</t>
  </si>
  <si>
    <t xml:space="preserve">UA spend — target (aggressive growth investment).</t>
  </si>
  <si>
    <t xml:space="preserve">PLAYER STATS CURVE</t>
  </si>
  <si>
    <t xml:space="preserve">Driven entirely by Assumptions. All formulas in black are same-sheet; green pulls cross-sheet.</t>
  </si>
  <si>
    <t xml:space="preserve">DRIVER INPUTS (mirrored from Assumptions — green text)</t>
  </si>
  <si>
    <t xml:space="preserve">Driver</t>
  </si>
  <si>
    <t xml:space="preserve">PER-FLOOR CURVE</t>
  </si>
  <si>
    <t xml:space="preserve">Floor</t>
  </si>
  <si>
    <t xml:space="preserve">Player HP</t>
  </si>
  <si>
    <t xml:space="preserve">Player Damage</t>
  </si>
  <si>
    <t xml:space="preserve">Player AP</t>
  </si>
  <si>
    <t xml:space="preserve">HP vs Floor 1</t>
  </si>
  <si>
    <t xml:space="preserve">Dmg vs Floor 1</t>
  </si>
  <si>
    <t xml:space="preserve">Notes</t>
  </si>
  <si>
    <t xml:space="preserve">Zone 1 boss floor</t>
  </si>
  <si>
    <t xml:space="preserve">Zone 2 boss floor</t>
  </si>
  <si>
    <t xml:space="preserve">Zone 3 boss floor</t>
  </si>
  <si>
    <t xml:space="preserve">Zone 4 boss floor</t>
  </si>
  <si>
    <t xml:space="preserve">Zone 5 boss floor</t>
  </si>
  <si>
    <t xml:space="preserve">XP &amp; LEVEL CURVE</t>
  </si>
  <si>
    <t xml:space="preserve">XP required per level + cumulative + unlocks. Drives the leveling pace in Run Pacing (batch 2).</t>
  </si>
  <si>
    <t xml:space="preserve">DRIVER INPUTS</t>
  </si>
  <si>
    <t xml:space="preserve">PER-LEVEL TABLE</t>
  </si>
  <si>
    <t xml:space="preserve">Level</t>
  </si>
  <si>
    <t xml:space="preserve">XP to next</t>
  </si>
  <si>
    <t xml:space="preserve">Cumulative XP</t>
  </si>
  <si>
    <t xml:space="preserve">XP vs Level 1</t>
  </si>
  <si>
    <t xml:space="preserve">Unlocks at this level</t>
  </si>
  <si>
    <t xml:space="preserve">Tutorial / Floor 0 access</t>
  </si>
  <si>
    <t xml:space="preserve">First mutation slot</t>
  </si>
  <si>
    <t xml:space="preserve">Codex unlock</t>
  </si>
  <si>
    <t xml:space="preserve">Second mutation slot</t>
  </si>
  <si>
    <t xml:space="preserve">Crafting bench (Mod combine)</t>
  </si>
  <si>
    <t xml:space="preserve">Third mutation slot</t>
  </si>
  <si>
    <t xml:space="preserve">Daily Strand challenge unlocked</t>
  </si>
  <si>
    <t xml:space="preserve">Loadout presets (3 slots)</t>
  </si>
  <si>
    <t xml:space="preserve">Weekly Strand event unlocked</t>
  </si>
  <si>
    <t xml:space="preserve">Fourth mutation slot</t>
  </si>
  <si>
    <t xml:space="preserve">Prestige Tier I unlocks</t>
  </si>
  <si>
    <t xml:space="preserve">Endgame Floor 30 boss eligible</t>
  </si>
  <si>
    <t xml:space="preserve">Prestige Tier II unlocks</t>
  </si>
  <si>
    <t xml:space="preserve">Endless mode unlocks</t>
  </si>
  <si>
    <t xml:space="preserve">Prestige Tier III unlocks</t>
  </si>
  <si>
    <t xml:space="preserve">—</t>
  </si>
  <si>
    <t xml:space="preserve">Level cap — final cosmetic unlock</t>
  </si>
  <si>
    <t xml:space="preserve">SUMMARY</t>
  </si>
  <si>
    <t xml:space="preserve">Total XP to reach level cap</t>
  </si>
  <si>
    <t xml:space="preserve">DROP RATES</t>
  </si>
  <si>
    <t xml:space="preserve">Per-kill drop probabilities and expected per-floor yields. Drives the Currencies tab in batch 2.</t>
  </si>
  <si>
    <t xml:space="preserve">GLOBAL DROP PROBABILITIES (per kill, from Assumptions)</t>
  </si>
  <si>
    <t xml:space="preserve">Tier</t>
  </si>
  <si>
    <t xml:space="preserve">Drop</t>
  </si>
  <si>
    <t xml:space="preserve">Probability</t>
  </si>
  <si>
    <t xml:space="preserve">LOCAL DRIVERS</t>
  </si>
  <si>
    <t xml:space="preserve">Common</t>
  </si>
  <si>
    <t xml:space="preserve">Mod</t>
  </si>
  <si>
    <t xml:space="preserve">Elite</t>
  </si>
  <si>
    <t xml:space="preserve">Rare core</t>
  </si>
  <si>
    <t xml:space="preserve">Boss</t>
  </si>
  <si>
    <t xml:space="preserve">SIG (guaranteed)</t>
  </si>
  <si>
    <t xml:space="preserve">Epic core</t>
  </si>
  <si>
    <t xml:space="preserve">EXPECTED PER-FLOOR YIELD (E[drops] = kills × probability)</t>
  </si>
  <si>
    <t xml:space="preserve">Zone</t>
  </si>
  <si>
    <t xml:space="preserve">Commons</t>
  </si>
  <si>
    <t xml:space="preserve">Elites</t>
  </si>
  <si>
    <t xml:space="preserve">E[VEIN drops]</t>
  </si>
  <si>
    <t xml:space="preserve">E[SIG drops]</t>
  </si>
  <si>
    <t xml:space="preserve">E[Mod drops]</t>
  </si>
  <si>
    <t xml:space="preserve">E[Rare cores]</t>
  </si>
  <si>
    <t xml:space="preserve">E[Epic cores]</t>
  </si>
  <si>
    <t xml:space="preserve">Is boss floor?</t>
  </si>
  <si>
    <t xml:space="preserve">Tutorial floor — drops still apply for balance-data parity.</t>
  </si>
  <si>
    <t xml:space="preserve">Zone 1 boss</t>
  </si>
  <si>
    <t xml:space="preserve">Zone 2 boss</t>
  </si>
  <si>
    <t xml:space="preserve">Zone 3 boss</t>
  </si>
  <si>
    <t xml:space="preserve">Zone 4 boss</t>
  </si>
  <si>
    <t xml:space="preserve">Zone 5 boss</t>
  </si>
  <si>
    <t xml:space="preserve">CAMPAIGN TOTALS (sum of all floors)</t>
  </si>
  <si>
    <t xml:space="preserve">TOTAL</t>
  </si>
  <si>
    <t xml:space="preserve">ENEMY STATS</t>
  </si>
  <si>
    <t xml:space="preserve">Per-floor enemy HP, Damage, and AP for Common / Elite / Boss tiers. Balance Ratio = enemy HP ÷ player damage = expected turns-to-kill.</t>
  </si>
  <si>
    <t xml:space="preserve">PER-FLOOR ENEMY STATS</t>
  </si>
  <si>
    <t xml:space="preserve">Damage</t>
  </si>
  <si>
    <t xml:space="preserve">Player Dmg</t>
  </si>
  <si>
    <t xml:space="preserve">Turns-to-Kill</t>
  </si>
  <si>
    <t xml:space="preserve">vs Floor 1 HP</t>
  </si>
  <si>
    <t xml:space="preserve">Boss?</t>
  </si>
  <si>
    <t xml:space="preserve">Tutorial — tune HP down if needed.</t>
  </si>
  <si>
    <t xml:space="preserve">Yes</t>
  </si>
  <si>
    <t xml:space="preserve">Average turns-to-kill (all tiers, all floors)</t>
  </si>
  <si>
    <t xml:space="preserve">Max turns-to-kill (peak difficulty)</t>
  </si>
  <si>
    <t xml:space="preserve">CURRENCIES</t>
  </si>
  <si>
    <t xml:space="preserve">VEIN Crystal earned per floor (from drops + clear bonus) and Shard Crystal accrued per run. Drives the IAP expected-value math in batch 3.</t>
  </si>
  <si>
    <t xml:space="preserve">PER-FLOOR INCOME</t>
  </si>
  <si>
    <t xml:space="preserve">VEIN earned</t>
  </si>
  <si>
    <t xml:space="preserve">SIG earned</t>
  </si>
  <si>
    <t xml:space="preserve">Cum. VEIN</t>
  </si>
  <si>
    <t xml:space="preserve">Cum. SIG</t>
  </si>
  <si>
    <t xml:space="preserve">Cum. Shards</t>
  </si>
  <si>
    <t xml:space="preserve">Zone 1 boss — big VEIN/SIG payout</t>
  </si>
  <si>
    <t xml:space="preserve">Zone 2 boss — big VEIN/SIG payout</t>
  </si>
  <si>
    <t xml:space="preserve">Zone 3 boss — big VEIN/SIG payout</t>
  </si>
  <si>
    <t xml:space="preserve">Zone 4 boss — big VEIN/SIG payout</t>
  </si>
  <si>
    <t xml:space="preserve">Zone 5 boss — big VEIN/SIG payout</t>
  </si>
  <si>
    <t xml:space="preserve">FULL-RUN TOTALS</t>
  </si>
  <si>
    <t xml:space="preserve">Total VEIN per full clear (F1→F30)</t>
  </si>
  <si>
    <t xml:space="preserve">Total SIG per full clear (F1→F30)</t>
  </si>
  <si>
    <t xml:space="preserve">Total Shards per full clear (F1→F30)</t>
  </si>
  <si>
    <t xml:space="preserve">RUN PACING</t>
  </si>
  <si>
    <t xml:space="preserve">Expected combat and clear time per floor. Sum-to-30 is the full-clear run time — a retention proxy used by the IAP and DAU sheets.</t>
  </si>
  <si>
    <t xml:space="preserve">Methodology: Estimated combat seconds per floor = (commons × common turns-to-kill + elites × elite turns-to-kill + boss × boss turns-to-kill) × 6 seconds per turn. Adds 30s navigation + 15s reward UI per floor.</t>
  </si>
  <si>
    <t xml:space="preserve">PER-FLOOR PACING</t>
  </si>
  <si>
    <t xml:space="preserve">Common TtK</t>
  </si>
  <si>
    <t xml:space="preserve">Elite/Boss TtK</t>
  </si>
  <si>
    <t xml:space="preserve">Combat sec</t>
  </si>
  <si>
    <t xml:space="preserve">Floor total sec</t>
  </si>
  <si>
    <t xml:space="preserve">Floor total min</t>
  </si>
  <si>
    <t xml:space="preserve">Cum. minutes</t>
  </si>
  <si>
    <t xml:space="preserve">Zone 1 boss — longer fight</t>
  </si>
  <si>
    <t xml:space="preserve">Zone 2 boss — longer fight</t>
  </si>
  <si>
    <t xml:space="preserve">Zone 3 boss — longer fight</t>
  </si>
  <si>
    <t xml:space="preserve">Zone 4 boss — longer fight</t>
  </si>
  <si>
    <t xml:space="preserve">Zone 5 boss — longer fight</t>
  </si>
  <si>
    <t xml:space="preserve">RUN PACING SUMMARY</t>
  </si>
  <si>
    <t xml:space="preserve">Total full-clear time (minutes)</t>
  </si>
  <si>
    <t xml:space="preserve">Total full-clear time (hours)</t>
  </si>
  <si>
    <t xml:space="preserve">Average minutes per floor (target = avg_floor_time_min)</t>
  </si>
  <si>
    <t xml:space="preserve">Delta vs target (negative = faster than target)</t>
  </si>
  <si>
    <t xml:space="preserve">MUTATION COSTS</t>
  </si>
  <si>
    <t xml:space="preserve">SIG upgrade costs by rarity × level. Balance check at bottom: how many full runs to outfit one of each rarity.</t>
  </si>
  <si>
    <t xml:space="preserve">common_mult</t>
  </si>
  <si>
    <t xml:space="preserve">uncommon_mult</t>
  </si>
  <si>
    <t xml:space="preserve">rare_mult</t>
  </si>
  <si>
    <t xml:space="preserve">epic_mult</t>
  </si>
  <si>
    <t xml:space="preserve">total_sig_per_run</t>
  </si>
  <si>
    <t xml:space="preserve">SIG COST MATRIX (per upgrade)</t>
  </si>
  <si>
    <t xml:space="preserve">Rarity</t>
  </si>
  <si>
    <t xml:space="preserve">Mk I cost</t>
  </si>
  <si>
    <t xml:space="preserve">Mk II cost</t>
  </si>
  <si>
    <t xml:space="preserve">Mk III cost</t>
  </si>
  <si>
    <t xml:space="preserve">Total to Mk III</t>
  </si>
  <si>
    <t xml:space="preserve">Runs needed*</t>
  </si>
  <si>
    <t xml:space="preserve">vs Common</t>
  </si>
  <si>
    <t xml:space="preserve">Reference tier.</t>
  </si>
  <si>
    <t xml:space="preserve">Uncommon</t>
  </si>
  <si>
    <t xml:space="preserve">Crafted from 3 Commons + 5 Mod tokens.</t>
  </si>
  <si>
    <t xml:space="preserve">Rare</t>
  </si>
  <si>
    <t xml:space="preserve">Drops from elites (10%) and bosses (60%).</t>
  </si>
  <si>
    <t xml:space="preserve">Epic</t>
  </si>
  <si>
    <t xml:space="preserve">Drops from bosses only (15%). Late-game gear.</t>
  </si>
  <si>
    <t xml:space="preserve">BALANCE CHECK</t>
  </si>
  <si>
    <t xml:space="preserve">Total SIG for full kit (one of each rarity to Mk III)</t>
  </si>
  <si>
    <t xml:space="preserve">Runs needed for full kit</t>
  </si>
  <si>
    <t xml:space="preserve">Total SIG earned per run (reference)</t>
  </si>
  <si>
    <t xml:space="preserve">*Runs-needed assumes the player banks ALL SIG into a single mutation, which is unrealistic. Real grind will be 2-3x higher when SIG is split across multiple mutations being leveled in parallel. Use this column as a floor, not an expectation.</t>
  </si>
  <si>
    <t xml:space="preserve">IAP CATALOG</t>
  </si>
  <si>
    <t xml:space="preserve">Six SKUs with USD price, currency grant, and expected-value analysis. Time-saved column converts purchases to minutes of grinding eliminated.</t>
  </si>
  <si>
    <t xml:space="preserve">DRIVER INPUTS (mirrored — green text)</t>
  </si>
  <si>
    <t xml:space="preserve">total_vein_per_run</t>
  </si>
  <si>
    <t xml:space="preserve">total_shards_per_run</t>
  </si>
  <si>
    <t xml:space="preserve">total_run_min</t>
  </si>
  <si>
    <t xml:space="preserve">target_conversion</t>
  </si>
  <si>
    <t xml:space="preserve">VEIN earned per minute (derived)</t>
  </si>
  <si>
    <t xml:space="preserve">Shards earned per minute (derived)</t>
  </si>
  <si>
    <t xml:space="preserve">PRODUCT CATALOG</t>
  </si>
  <si>
    <t xml:space="preserve">SKU</t>
  </si>
  <si>
    <t xml:space="preserve">Type</t>
  </si>
  <si>
    <t xml:space="preserve">Shards</t>
  </si>
  <si>
    <t xml:space="preserve">$ per VEIN</t>
  </si>
  <si>
    <t xml:space="preserve">$ per Shard</t>
  </si>
  <si>
    <t xml:space="preserve">Minutes saved</t>
  </si>
  <si>
    <t xml:space="preserve">Value rating</t>
  </si>
  <si>
    <t xml:space="preserve">VEIN Pack — Small</t>
  </si>
  <si>
    <t xml:space="preserve">Entry-level impulse purchase.</t>
  </si>
  <si>
    <t xml:space="preserve">VEIN Pack — Medium</t>
  </si>
  <si>
    <t xml:space="preserve">20% bulk bonus. The 'recommended' sticker goes here.</t>
  </si>
  <si>
    <t xml:space="preserve">VEIN Pack — Large</t>
  </si>
  <si>
    <t xml:space="preserve">Whale tier. 50% bulk bonus.</t>
  </si>
  <si>
    <t xml:space="preserve">Shard Pack — Small</t>
  </si>
  <si>
    <t xml:space="preserve">Premium-currency entry tier.</t>
  </si>
  <si>
    <t xml:space="preserve">Shard Pack — Large</t>
  </si>
  <si>
    <t xml:space="preserve">Premium-currency whale tier. 20% bulk bonus.</t>
  </si>
  <si>
    <t xml:space="preserve">Deep Signal Pass</t>
  </si>
  <si>
    <t xml:space="preserve">Pass</t>
  </si>
  <si>
    <t xml:space="preserve">30-day battle pass. Combined VEIN + Shard grant + cosmetics (not modeled in $ value).</t>
  </si>
  <si>
    <t xml:space="preserve">CATALOG SUMMARY</t>
  </si>
  <si>
    <t xml:space="preserve">Cheapest entry point (USD)</t>
  </si>
  <si>
    <t xml:space="preserve">Highest-tier purchase (USD)</t>
  </si>
  <si>
    <t xml:space="preserve">Average price (USD)</t>
  </si>
  <si>
    <t xml:space="preserve">Median price (USD) — feeds ARPPU calc in Revenue</t>
  </si>
  <si>
    <t xml:space="preserve">DAU &amp; REVENUE MODEL</t>
  </si>
  <si>
    <t xml:space="preserve">12-month projection across three scenarios. DAU grows geometrically from starting value; revenue = DAU × conversion × ARPPU × (1 − platform cut).</t>
  </si>
  <si>
    <t xml:space="preserve">Pessimistic</t>
  </si>
  <si>
    <t xml:space="preserve">Conservative</t>
  </si>
  <si>
    <t xml:space="preserve">Target</t>
  </si>
  <si>
    <t xml:space="preserve">Starting DAU (M1)</t>
  </si>
  <si>
    <t xml:space="preserve">MoM DAU growth</t>
  </si>
  <si>
    <t xml:space="preserve">Conversion (free→paying)</t>
  </si>
  <si>
    <t xml:space="preserve">Monthly ARPPU</t>
  </si>
  <si>
    <t xml:space="preserve">Platform cut</t>
  </si>
  <si>
    <t xml:space="preserve">Metric</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</si>
  <si>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</si>
  <si>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</si>
  <si>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</si>
  <si>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</si>
  <si>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</si>
  <si>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</si>
  <si>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</si>
  <si>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</si>
  <si>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</si>
  <si>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</si>
  <si>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</si>
  <si>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</si>
  <si>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12-mo Total</t>
  </si>
  <si>
    <t xml:space="preserve">PESSIMISTIC SCENARIO</t>
  </si>
  <si>
    <t xml:space="preserve">Paying users</t>
  </si>
  <si>
    <t xml:space="preserve">Gross revenue (USD)</t>
  </si>
  <si>
    <t xml:space="preserve">Platform cut (USD)</t>
  </si>
  <si>
    <t xml:space="preserve">Net revenue (USD)</t>
  </si>
  <si>
    <t xml:space="preserve">Cumulative net rev (USD)</t>
  </si>
  <si>
    <t xml:space="preserve">CONSERVATIVE SCENARIO</t>
  </si>
  <si>
    <t xml:space="preserve">TARGET SCENARIO</t>
  </si>
  <si>
    <t xml:space="preserve">COMPARISON SUMMARY — 12-MONTH TOTALS</t>
  </si>
  <si>
    <t xml:space="preserve">Δ Target vs Cons</t>
  </si>
  <si>
    <t xml:space="preserve">Total Net Revenue (12 mo)</t>
  </si>
  <si>
    <t xml:space="preserve">DAU at M12</t>
  </si>
  <si>
    <t xml:space="preserve">Paying Users at M12</t>
  </si>
  <si>
    <t xml:space="preserve">COST PROJECTION</t>
  </si>
  <si>
    <t xml:space="preserve">Monthly costs and net profit per scenario. Firebase scales with DAU; dev burn is flat; UA spend is per-scenario. Pulls net revenue from DAU &amp; Revenue Model to close the loop.</t>
  </si>
  <si>
    <t xml:space="preserve">Firebase $ per DAU per mo</t>
  </si>
  <si>
    <t xml:space="preserve">Dev burn monthly USD</t>
  </si>
  <si>
    <t xml:space="preserve">UA spend monthly USD</t>
  </si>
  <si>
    <t xml:space="preserve">Firebase cost (USD)</t>
  </si>
  <si>
    <t xml:space="preserve">Dev burn (USD)</t>
  </si>
  <si>
    <t xml:space="preserve">UA spend (USD)</t>
  </si>
  <si>
    <t xml:space="preserve">Total costs (USD)</t>
  </si>
  <si>
    <t xml:space="preserve">Net profit (USD)</t>
  </si>
  <si>
    <t xml:space="preserve">Cumulative profit (USD)</t>
  </si>
  <si>
    <t xml:space="preserve">BREAKEVEN ANALYSIS</t>
  </si>
  <si>
    <t xml:space="preserve">12-month cumulative profit</t>
  </si>
  <si>
    <t xml:space="preserve">Negative = year ends in the red</t>
  </si>
  <si>
    <t xml:space="preserve">First profitable month (cum &gt; 0)</t>
  </si>
  <si>
    <t xml:space="preserve">When the project recoups</t>
  </si>
  <si>
    <t xml:space="preserve">12-mo ROI (cum profit ÷ 12-mo costs)</t>
  </si>
  <si>
    <t xml:space="preserve">&gt;0% means net positive</t>
  </si>
  <si>
    <t xml:space="preserve">PASS SENSITIVITY</t>
  </si>
  <si>
    <t xml:space="preserve">Two-dimensional sensitivity: Pass attach rate (rows) × Pass price (columns). Output is monthly Pass revenue at Conservative scenario DAU/conversion. Use this to find the price-attach combo that maximizes Pass revenue.</t>
  </si>
  <si>
    <t xml:space="preserve">DRIVER INPUTS (Conservative scenario at M6)</t>
  </si>
  <si>
    <t xml:space="preserve">Conservative paying users (M6)</t>
  </si>
  <si>
    <t xml:space="preserve">Baseline cohort for the analysis.</t>
  </si>
  <si>
    <t xml:space="preserve">Pass attach rate range</t>
  </si>
  <si>
    <t xml:space="preserve">20% – 80%</t>
  </si>
  <si>
    <t xml:space="preserve">Tested in 10% increments.</t>
  </si>
  <si>
    <t xml:space="preserve">Pass price range</t>
  </si>
  <si>
    <t xml:space="preserve">$4.99 – $19.99</t>
  </si>
  <si>
    <t xml:space="preserve">5 price points tested.</t>
  </si>
  <si>
    <t xml:space="preserve">PASS REVENUE ($/month) — attach rate × price</t>
  </si>
  <si>
    <t xml:space="preserve">Attach \ Price</t>
  </si>
  <si>
    <t xml:space="preserve">Floor estimate — weak engagement.</t>
  </si>
  <si>
    <t xml:space="preserve">Industry median attach rate for top-quartile passes.</t>
  </si>
  <si>
    <t xml:space="preserve">Ceiling — would require strong onboarding to Pass.</t>
  </si>
  <si>
    <t xml:space="preserve">ANNUALIZED IMPACT</t>
  </si>
  <si>
    <t xml:space="preserve">Max monthly Pass revenue in matrix</t>
  </si>
  <si>
    <t xml:space="preserve">Annualized at max (×12)</t>
  </si>
  <si>
    <t xml:space="preserve">Annualized at current ($9.99 × 40% attach)</t>
  </si>
  <si>
    <t xml:space="preserve">Methodology: Pass revenue = (paying users) × (attach rate) × (price) × (1 − 30% platform cut). This assumes the Pass is purchased once per month per attached paying user. Lifetime impact is higher because Pass-buyers tend to spend more on supplementary IAP — that lift is NOT modeled here.</t>
  </si>
  <si>
    <t xml:space="preserve">VALIDATION CHECKS</t>
  </si>
  <si>
    <t xml:space="preserve">Automated sanity checks across every sheet. Read-only — never modify inputs from here. Green = PASS, yellow = WARN, red = FAIL. Investigate every red row before committing a version.</t>
  </si>
  <si>
    <t xml:space="preserve">Check name</t>
  </si>
  <si>
    <t xml:space="preserve">Expected</t>
  </si>
  <si>
    <t xml:space="preserve">Actual</t>
  </si>
  <si>
    <t xml:space="preserve">Status</t>
  </si>
  <si>
    <t xml:space="preserve">STRUCTURE</t>
  </si>
  <si>
    <t xml:space="preserve">floors_per_zone × zones_count = max_floor</t>
  </si>
  <si>
    <t xml:space="preserve">TRUE</t>
  </si>
  <si>
    <t xml:space="preserve">If FAIL, the campaign structure is broken — boss floors won't land at zone ends.</t>
  </si>
  <si>
    <t xml:space="preserve">boss_every_n_floors = floors_per_zone</t>
  </si>
  <si>
    <t xml:space="preserve">Bosses must coincide with zone boundaries.</t>
  </si>
  <si>
    <t xml:space="preserve">level_cap &gt; max_floor</t>
  </si>
  <si>
    <t xml:space="preserve">Level cap should exceed floor count for post-content runway.</t>
  </si>
  <si>
    <t xml:space="preserve">BALANCE</t>
  </si>
  <si>
    <t xml:space="preserve">Enemy HP growth vs player damage growth gap</t>
  </si>
  <si>
    <t xml:space="preserve">&lt; 8 pts</t>
  </si>
  <si>
    <t xml:space="preserve">Gap &gt;8pts → late-game becomes a slog; &gt;12pts → unplayable without mutations.</t>
  </si>
  <si>
    <t xml:space="preserve">Average enemy turns-to-kill</t>
  </si>
  <si>
    <t xml:space="preserve">3 – 8 turns</t>
  </si>
  <si>
    <t xml:space="preserve">Sweet spot for tactical combat. &lt;3 = trivial; &gt;8 = slow.</t>
  </si>
  <si>
    <t xml:space="preserve">Max enemy turns-to-kill (peak)</t>
  </si>
  <si>
    <t xml:space="preserve">&lt; 50 turns</t>
  </si>
  <si>
    <t xml:space="preserve">Endgame boss difficulty. Mutations must close this gap.</t>
  </si>
  <si>
    <t xml:space="preserve">Avg floor time vs target</t>
  </si>
  <si>
    <t xml:space="preserve">Within ±50% of target</t>
  </si>
  <si>
    <t xml:space="preserve">Delta = actual avg floor time − target. Sign shows over/under.</t>
  </si>
  <si>
    <t xml:space="preserve">ECONOMY</t>
  </si>
  <si>
    <t xml:space="preserve">Runs to full mutation kit</t>
  </si>
  <si>
    <t xml:space="preserve">5 – 20 runs</t>
  </si>
  <si>
    <t xml:space="preserve">&lt;5 runs = no grind pressure → no IAP motive. &gt;20 = frustrating.</t>
  </si>
  <si>
    <t xml:space="preserve">Total VEIN per run buys cheapest pack</t>
  </si>
  <si>
    <t xml:space="preserve">≥ 1 small VEIN pack worth</t>
  </si>
  <si>
    <t xml:space="preserve">One run should earn at least what a $1 pack provides — otherwise free play feels worthless.</t>
  </si>
  <si>
    <t xml:space="preserve">Drop probabilities all in [0, 1]</t>
  </si>
  <si>
    <t xml:space="preserve">Probabilities must stay in [0,1].</t>
  </si>
  <si>
    <t xml:space="preserve">Rarity ladder: boss rare ≥ elite rare</t>
  </si>
  <si>
    <t xml:space="preserve">Higher tiers should have higher rare-drop rates.</t>
  </si>
  <si>
    <t xml:space="preserve">MONETIZATION</t>
  </si>
  <si>
    <t xml:space="preserve">Median IAP price in $5–$10 range</t>
  </si>
  <si>
    <t xml:space="preserve">$5 – $10</t>
  </si>
  <si>
    <t xml:space="preserve">Median outside this range suggests price ladder is skewed.</t>
  </si>
  <si>
    <t xml:space="preserve">Pass is best $/min in catalog</t>
  </si>
  <si>
    <t xml:space="preserve">The Pass should be the best minutes-saved-per-dollar in the catalog. Fixed in v1.0: previous check compared raw minutes, which is sensitive to absolute price.</t>
  </si>
  <si>
    <t xml:space="preserve">Pass price in $5–$15 range</t>
  </si>
  <si>
    <t xml:space="preserve">$5 – $15</t>
  </si>
  <si>
    <t xml:space="preserve">Industry standard for monthly battle pass.</t>
  </si>
  <si>
    <t xml:space="preserve">BUSINESS MODEL</t>
  </si>
  <si>
    <t xml:space="preserve">Target M12 net profit ≥ break-even threshold</t>
  </si>
  <si>
    <t xml:space="preserve">≥ $0</t>
  </si>
  <si>
    <t xml:space="preserve">By M12 Target scenario should at least flirt with monthly profitability.</t>
  </si>
  <si>
    <t xml:space="preserve">Target 12-mo ROI ≥ -50%</t>
  </si>
  <si>
    <t xml:space="preserve">≥ -50%</t>
  </si>
  <si>
    <t xml:space="preserve">Year-1 ROI worse than -50% suggests inputs too aggressive on costs or too low on revenue.</t>
  </si>
  <si>
    <t xml:space="preserve">Firebase cost as % of net rev (Target, 12-mo)</t>
  </si>
  <si>
    <t xml:space="preserve">&lt; 5%</t>
  </si>
  <si>
    <t xml:space="preserve">Firebase shouldn't eat more than 5% of net revenue.</t>
  </si>
  <si>
    <t xml:space="preserve">SCENARIO CONSISTENCY</t>
  </si>
  <si>
    <t xml:space="preserve">Target ARPPU &gt; Conservative ARPPU &gt; Pessimistic</t>
  </si>
  <si>
    <t xml:space="preserve">Scenario ordering must be consistent across all parameters.</t>
  </si>
  <si>
    <t xml:space="preserve">Target DAU growth &gt; Conservative &gt; Pessimistic</t>
  </si>
  <si>
    <t xml:space="preserve">Scenario ordering check.</t>
  </si>
  <si>
    <t xml:space="preserve">Target conversion &gt; Conservative &gt; Pessimistic</t>
  </si>
  <si>
    <t xml:space="preserve">OVERALL STATUS</t>
  </si>
  <si>
    <t xml:space="preserve">PASS count</t>
  </si>
  <si>
    <t xml:space="preserve">WARN count</t>
  </si>
  <si>
    <t xml:space="preserve">FAIL count</t>
  </si>
  <si>
    <t xml:space="preserve">Overall verdict</t>
  </si>
</sst>
</file>

<file path=xl/styles.xml><?xml version="1.0" encoding="utf-8"?>
<styleSheet xmlns="http://schemas.openxmlformats.org/spreadsheetml/2006/main">
  <numFmts count="11">
    <numFmt numFmtId="164" formatCode="General"/>
    <numFmt numFmtId="165" formatCode="#,##0;\(#,##0\);\-"/>
    <numFmt numFmtId="166" formatCode="0.0%;\(0.0%\);\-"/>
    <numFmt numFmtId="167" formatCode="#,##0.0;\(#,##0.0\);\-"/>
    <numFmt numFmtId="168" formatCode="0%;\(0%\);\-"/>
    <numFmt numFmtId="169" formatCode="\$#,##0.00"/>
    <numFmt numFmtId="170" formatCode="\$#,##0"/>
    <numFmt numFmtId="171" formatCode="#,##0.00;\(#,##0.00\);\-"/>
    <numFmt numFmtId="172" formatCode="\$0.0000"/>
    <numFmt numFmtId="173" formatCode="0.0%"/>
    <numFmt numFmtId="174" formatCode="0.0"/>
  </numFmts>
  <fonts count="24">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555555"/>
      <name val="Arial"/>
      <family val="0"/>
      <charset val="1"/>
    </font>
    <font>
      <b val="true"/>
      <sz val="11"/>
      <color rgb="FF000000"/>
      <name val="Arial"/>
      <family val="0"/>
      <charset val="1"/>
    </font>
    <font>
      <b val="true"/>
      <sz val="11"/>
      <color rgb="FF1F2A44"/>
      <name val="Arial"/>
      <family val="0"/>
      <charset val="1"/>
    </font>
    <font>
      <b val="true"/>
      <sz val="11"/>
      <color rgb="FFFFFFFF"/>
      <name val="Arial"/>
      <family val="0"/>
      <charset val="1"/>
    </font>
    <font>
      <b val="true"/>
      <sz val="12"/>
      <color rgb="FFFFFFFF"/>
      <name val="Arial"/>
      <family val="0"/>
      <charset val="1"/>
    </font>
    <font>
      <sz val="9"/>
      <color rgb="FF888888"/>
      <name val="Arial"/>
      <family val="0"/>
      <charset val="1"/>
    </font>
    <font>
      <sz val="11"/>
      <color rgb="FF0000FF"/>
      <name val="Arial"/>
      <family val="0"/>
      <charset val="1"/>
    </font>
    <font>
      <sz val="9"/>
      <color rgb="FF666666"/>
      <name val="Arial"/>
      <family val="0"/>
      <charset val="1"/>
    </font>
    <font>
      <i val="true"/>
      <sz val="9"/>
      <color rgb="FF666666"/>
      <name val="Arial"/>
      <family val="0"/>
      <charset val="1"/>
    </font>
    <font>
      <sz val="10"/>
      <name val="Arial"/>
      <family val="2"/>
    </font>
    <font>
      <sz val="11"/>
      <color rgb="FF008000"/>
      <name val="Arial"/>
      <family val="0"/>
      <charset val="1"/>
    </font>
    <font>
      <b val="true"/>
      <sz val="11"/>
      <name val="Arial"/>
      <family val="0"/>
      <charset val="1"/>
    </font>
    <font>
      <sz val="11"/>
      <color rgb="FF000000"/>
      <name val="Arial"/>
      <family val="0"/>
      <charset val="1"/>
    </font>
    <font>
      <sz val="11"/>
      <color rgb="FF888888"/>
      <name val="Arial"/>
      <family val="0"/>
      <charset val="1"/>
    </font>
    <font>
      <sz val="11"/>
      <color rgb="FF666666"/>
      <name val="Arial"/>
      <family val="0"/>
      <charset val="1"/>
    </font>
    <font>
      <b val="true"/>
      <sz val="11"/>
      <color rgb="FF006100"/>
      <name val="Arial"/>
      <family val="0"/>
      <charset val="1"/>
    </font>
    <font>
      <b val="true"/>
      <sz val="11"/>
      <color rgb="FF9C5700"/>
      <name val="Arial"/>
      <family val="0"/>
      <charset val="1"/>
    </font>
    <font>
      <b val="true"/>
      <sz val="11"/>
      <color rgb="FF9C0006"/>
      <name val="Arial"/>
      <family val="0"/>
      <charset val="1"/>
    </font>
    <font>
      <b val="true"/>
      <sz val="12"/>
      <name val="Arial"/>
      <family val="0"/>
      <charset val="1"/>
    </font>
  </fonts>
  <fills count="16">
    <fill>
      <patternFill patternType="none"/>
    </fill>
    <fill>
      <patternFill patternType="gray125"/>
    </fill>
    <fill>
      <patternFill patternType="solid">
        <fgColor rgb="FFEEF0F4"/>
        <bgColor rgb="FFF7F7F7"/>
      </patternFill>
    </fill>
    <fill>
      <patternFill patternType="solid">
        <fgColor rgb="FF1F2A44"/>
        <bgColor rgb="FF003366"/>
      </patternFill>
    </fill>
    <fill>
      <patternFill patternType="solid">
        <fgColor rgb="FF2E4172"/>
        <bgColor rgb="FF1F2A44"/>
      </patternFill>
    </fill>
    <fill>
      <patternFill patternType="solid">
        <fgColor rgb="FFFFFF00"/>
        <bgColor rgb="FFFFFF00"/>
      </patternFill>
    </fill>
    <fill>
      <patternFill patternType="solid">
        <fgColor rgb="FFF7F7F7"/>
        <bgColor rgb="FFEEF0F4"/>
      </patternFill>
    </fill>
    <fill>
      <patternFill patternType="solid">
        <fgColor rgb="FF8B3A3A"/>
        <bgColor rgb="FF993366"/>
      </patternFill>
    </fill>
    <fill>
      <patternFill patternType="solid">
        <fgColor rgb="FFF5E0E0"/>
        <bgColor rgb="FFFAF1D6"/>
      </patternFill>
    </fill>
    <fill>
      <patternFill patternType="solid">
        <fgColor rgb="FFC29F1A"/>
        <bgColor rgb="FF99CC00"/>
      </patternFill>
    </fill>
    <fill>
      <patternFill patternType="solid">
        <fgColor rgb="FFFAF1D6"/>
        <bgColor rgb="FFEEF0F4"/>
      </patternFill>
    </fill>
    <fill>
      <patternFill patternType="solid">
        <fgColor rgb="FF2E6B3B"/>
        <bgColor rgb="FF555555"/>
      </patternFill>
    </fill>
    <fill>
      <patternFill patternType="solid">
        <fgColor rgb="FFDEEEDF"/>
        <bgColor rgb="FFEEF0F4"/>
      </patternFill>
    </fill>
    <fill>
      <patternFill patternType="solid">
        <fgColor rgb="FFC6EFCE"/>
        <bgColor rgb="FFDEEEDF"/>
      </patternFill>
    </fill>
    <fill>
      <patternFill patternType="solid">
        <fgColor rgb="FFFFEB9C"/>
        <bgColor rgb="FFFAF1D6"/>
      </patternFill>
    </fill>
    <fill>
      <patternFill patternType="solid">
        <fgColor rgb="FFFFC7CE"/>
        <bgColor rgb="FFF5E0E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6" fontId="11" fillId="5" borderId="0" xfId="0" applyFont="true" applyBorder="false" applyAlignment="true" applyProtection="false">
      <alignment horizontal="right" vertical="center" textRotation="0" wrapText="false" indent="0" shrinkToFit="false"/>
      <protection locked="true" hidden="false"/>
    </xf>
    <xf numFmtId="167" fontId="11" fillId="0" borderId="0" xfId="0" applyFont="true" applyBorder="false" applyAlignment="true" applyProtection="false">
      <alignment horizontal="right" vertical="center" textRotation="0" wrapText="false" indent="0" shrinkToFit="false"/>
      <protection locked="true" hidden="false"/>
    </xf>
    <xf numFmtId="166" fontId="11" fillId="0" borderId="0" xfId="0" applyFont="true" applyBorder="false" applyAlignment="true" applyProtection="false">
      <alignment horizontal="right" vertical="center" textRotation="0" wrapText="fals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5" fontId="11" fillId="5" borderId="0" xfId="0" applyFont="true" applyBorder="false" applyAlignment="true" applyProtection="false">
      <alignment horizontal="right" vertical="center" textRotation="0" wrapText="false" indent="0" shrinkToFit="false"/>
      <protection locked="true" hidden="false"/>
    </xf>
    <xf numFmtId="167" fontId="11" fillId="5" borderId="0" xfId="0" applyFont="true" applyBorder="false" applyAlignment="true" applyProtection="false">
      <alignment horizontal="right" vertical="center" textRotation="0" wrapText="false" indent="0" shrinkToFit="false"/>
      <protection locked="true" hidden="false"/>
    </xf>
    <xf numFmtId="169" fontId="11" fillId="0" borderId="0" xfId="0" applyFont="true" applyBorder="false" applyAlignment="true" applyProtection="false">
      <alignment horizontal="right" vertical="center" textRotation="0" wrapText="false" indent="0" shrinkToFit="false"/>
      <protection locked="true" hidden="false"/>
    </xf>
    <xf numFmtId="169" fontId="11" fillId="5" borderId="0" xfId="0" applyFont="true" applyBorder="false" applyAlignment="true" applyProtection="false">
      <alignment horizontal="right" vertical="center" textRotation="0" wrapText="false" indent="0" shrinkToFit="false"/>
      <protection locked="true" hidden="false"/>
    </xf>
    <xf numFmtId="170" fontId="11" fillId="5" borderId="0" xfId="0" applyFont="true" applyBorder="false" applyAlignment="true" applyProtection="false">
      <alignment horizontal="right" vertical="center" textRotation="0" wrapText="false" indent="0" shrinkToFit="false"/>
      <protection locked="true" hidden="false"/>
    </xf>
    <xf numFmtId="170" fontId="11"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71" fontId="1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center" vertical="center" textRotation="0" wrapText="true" indent="0" shrinkToFit="false"/>
      <protection locked="true" hidden="false"/>
    </xf>
    <xf numFmtId="165" fontId="17" fillId="6" borderId="0" xfId="0" applyFont="true" applyBorder="false" applyAlignment="true" applyProtection="false">
      <alignment horizontal="general" vertical="bottom" textRotation="0" wrapText="false" indent="0" shrinkToFit="false"/>
      <protection locked="true" hidden="false"/>
    </xf>
    <xf numFmtId="171" fontId="17" fillId="6" borderId="0" xfId="0" applyFont="true" applyBorder="false" applyAlignment="tru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7" fontId="17" fillId="6"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center" vertical="center" textRotation="0" wrapText="tru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7" fontId="16" fillId="2" borderId="0" xfId="0" applyFont="true" applyBorder="false" applyAlignment="true" applyProtection="false">
      <alignment horizontal="general" vertical="bottom" textRotation="0" wrapText="false" indent="0" shrinkToFit="false"/>
      <protection locked="true" hidden="false"/>
    </xf>
    <xf numFmtId="171" fontId="16"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6" borderId="0" xfId="0" applyFont="true" applyBorder="false" applyAlignment="true" applyProtection="false">
      <alignment horizontal="center" vertical="center" textRotation="0" wrapText="true" indent="0" shrinkToFit="false"/>
      <protection locked="true" hidden="false"/>
    </xf>
    <xf numFmtId="165" fontId="15" fillId="6"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5" fontId="17" fillId="2" borderId="0" xfId="0" applyFont="true" applyBorder="false" applyAlignment="true" applyProtection="false">
      <alignment horizontal="general" vertical="bottom" textRotation="0" wrapText="false" indent="0" shrinkToFit="false"/>
      <protection locked="true" hidden="false"/>
    </xf>
    <xf numFmtId="167" fontId="15"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left" vertical="center" textRotation="0" wrapText="tru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69" fontId="15" fillId="6" borderId="0" xfId="0" applyFont="true" applyBorder="false" applyAlignment="true" applyProtection="false">
      <alignment horizontal="general" vertical="bottom" textRotation="0" wrapText="false" indent="0" shrinkToFit="false"/>
      <protection locked="true" hidden="false"/>
    </xf>
    <xf numFmtId="172" fontId="17" fillId="6"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72" fontId="17" fillId="0" borderId="0" xfId="0" applyFont="true" applyBorder="false" applyAlignment="true" applyProtection="false">
      <alignment horizontal="general" vertical="bottom" textRotation="0" wrapText="false" indent="0" shrinkToFit="false"/>
      <protection locked="true" hidden="false"/>
    </xf>
    <xf numFmtId="169" fontId="17" fillId="2" borderId="0" xfId="0" applyFont="true" applyBorder="fals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left" vertical="center" textRotation="0" wrapText="true" indent="0" shrinkToFit="false"/>
      <protection locked="true" hidden="false"/>
    </xf>
    <xf numFmtId="164" fontId="6" fillId="8" borderId="0" xfId="0" applyFont="true" applyBorder="false" applyAlignment="true" applyProtection="false">
      <alignment horizontal="left" vertical="center" textRotation="0" wrapText="true" indent="0" shrinkToFit="false"/>
      <protection locked="true" hidden="false"/>
    </xf>
    <xf numFmtId="165" fontId="17" fillId="8" borderId="0" xfId="0" applyFont="true" applyBorder="false" applyAlignment="true" applyProtection="false">
      <alignment horizontal="general" vertical="bottom" textRotation="0" wrapText="false" indent="0" shrinkToFit="false"/>
      <protection locked="true" hidden="false"/>
    </xf>
    <xf numFmtId="165" fontId="16" fillId="8" borderId="0" xfId="0" applyFont="true" applyBorder="false" applyAlignment="true" applyProtection="false">
      <alignment horizontal="general" vertical="bottom" textRotation="0" wrapText="false" indent="0" shrinkToFit="false"/>
      <protection locked="true" hidden="false"/>
    </xf>
    <xf numFmtId="170" fontId="17" fillId="8" borderId="0" xfId="0" applyFont="true" applyBorder="false" applyAlignment="true" applyProtection="false">
      <alignment horizontal="general" vertical="bottom" textRotation="0" wrapText="false" indent="0" shrinkToFit="false"/>
      <protection locked="true" hidden="false"/>
    </xf>
    <xf numFmtId="170" fontId="16" fillId="8" borderId="0" xfId="0" applyFont="true" applyBorder="false" applyAlignment="true" applyProtection="false">
      <alignment horizontal="general" vertical="bottom" textRotation="0" wrapText="false" indent="0" shrinkToFit="false"/>
      <protection locked="true" hidden="false"/>
    </xf>
    <xf numFmtId="164" fontId="8" fillId="9" borderId="0" xfId="0" applyFont="true" applyBorder="true" applyAlignment="true" applyProtection="false">
      <alignment horizontal="left" vertical="center" textRotation="0" wrapText="true" indent="0" shrinkToFit="false"/>
      <protection locked="true" hidden="false"/>
    </xf>
    <xf numFmtId="164" fontId="6" fillId="10" borderId="0" xfId="0" applyFont="true" applyBorder="false" applyAlignment="true" applyProtection="false">
      <alignment horizontal="left" vertical="center" textRotation="0" wrapText="true" indent="0" shrinkToFit="false"/>
      <protection locked="true" hidden="false"/>
    </xf>
    <xf numFmtId="165" fontId="17" fillId="10" borderId="0" xfId="0" applyFont="true" applyBorder="false" applyAlignment="true" applyProtection="false">
      <alignment horizontal="general" vertical="bottom" textRotation="0" wrapText="false" indent="0" shrinkToFit="false"/>
      <protection locked="true" hidden="false"/>
    </xf>
    <xf numFmtId="165" fontId="16" fillId="10" borderId="0" xfId="0" applyFont="true" applyBorder="false" applyAlignment="true" applyProtection="false">
      <alignment horizontal="general" vertical="bottom" textRotation="0" wrapText="false" indent="0" shrinkToFit="false"/>
      <protection locked="true" hidden="false"/>
    </xf>
    <xf numFmtId="170" fontId="17" fillId="10" borderId="0" xfId="0" applyFont="true" applyBorder="false" applyAlignment="true" applyProtection="false">
      <alignment horizontal="general" vertical="bottom" textRotation="0" wrapText="false" indent="0" shrinkToFit="false"/>
      <protection locked="true" hidden="false"/>
    </xf>
    <xf numFmtId="170" fontId="16" fillId="10" borderId="0" xfId="0" applyFont="true" applyBorder="false" applyAlignment="true" applyProtection="false">
      <alignment horizontal="general" vertical="bottom" textRotation="0" wrapText="false" indent="0" shrinkToFit="false"/>
      <protection locked="true" hidden="false"/>
    </xf>
    <xf numFmtId="164" fontId="8" fillId="11" borderId="0" xfId="0" applyFont="true" applyBorder="true" applyAlignment="true" applyProtection="false">
      <alignment horizontal="left" vertical="center" textRotation="0" wrapText="true" indent="0" shrinkToFit="false"/>
      <protection locked="true" hidden="false"/>
    </xf>
    <xf numFmtId="164" fontId="6" fillId="12" borderId="0" xfId="0" applyFont="true" applyBorder="false" applyAlignment="true" applyProtection="false">
      <alignment horizontal="left" vertical="center" textRotation="0" wrapText="true" indent="0" shrinkToFit="false"/>
      <protection locked="true" hidden="false"/>
    </xf>
    <xf numFmtId="165" fontId="17" fillId="12" borderId="0" xfId="0" applyFont="true" applyBorder="false" applyAlignment="true" applyProtection="false">
      <alignment horizontal="general" vertical="bottom" textRotation="0" wrapText="false" indent="0" shrinkToFit="false"/>
      <protection locked="true" hidden="false"/>
    </xf>
    <xf numFmtId="165" fontId="16" fillId="12" borderId="0" xfId="0" applyFont="true" applyBorder="false" applyAlignment="true" applyProtection="false">
      <alignment horizontal="general" vertical="bottom" textRotation="0" wrapText="false" indent="0" shrinkToFit="false"/>
      <protection locked="true" hidden="false"/>
    </xf>
    <xf numFmtId="170" fontId="17" fillId="12" borderId="0" xfId="0" applyFont="true" applyBorder="false" applyAlignment="true" applyProtection="false">
      <alignment horizontal="general" vertical="bottom" textRotation="0" wrapText="false" indent="0" shrinkToFit="false"/>
      <protection locked="true" hidden="false"/>
    </xf>
    <xf numFmtId="170" fontId="16" fillId="12"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70" fontId="15" fillId="8" borderId="0" xfId="0" applyFont="true" applyBorder="false" applyAlignment="true" applyProtection="false">
      <alignment horizontal="general" vertical="bottom" textRotation="0" wrapText="false" indent="0" shrinkToFit="false"/>
      <protection locked="true" hidden="false"/>
    </xf>
    <xf numFmtId="170" fontId="15" fillId="10" borderId="0" xfId="0" applyFont="true" applyBorder="false" applyAlignment="true" applyProtection="false">
      <alignment horizontal="general" vertical="bottom" textRotation="0" wrapText="false" indent="0" shrinkToFit="false"/>
      <protection locked="true" hidden="false"/>
    </xf>
    <xf numFmtId="170" fontId="15" fillId="1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9" fontId="8" fillId="3" borderId="1" xfId="0" applyFont="true" applyBorder="true" applyAlignment="true" applyProtection="false">
      <alignment horizontal="center" vertical="center" textRotation="0" wrapText="true" indent="0" shrinkToFit="false"/>
      <protection locked="true" hidden="false"/>
    </xf>
    <xf numFmtId="168" fontId="6" fillId="6" borderId="0" xfId="0" applyFont="true" applyBorder="false" applyAlignment="true" applyProtection="false">
      <alignment horizontal="center" vertical="center" textRotation="0" wrapText="true" indent="0" shrinkToFit="false"/>
      <protection locked="true" hidden="false"/>
    </xf>
    <xf numFmtId="170" fontId="17" fillId="6"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center" vertical="center" textRotation="0" wrapText="true" indent="0" shrinkToFit="false"/>
      <protection locked="true" hidden="false"/>
    </xf>
    <xf numFmtId="170" fontId="17" fillId="2"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4" fontId="19" fillId="6" borderId="0" xfId="0" applyFont="true" applyBorder="false" applyAlignment="true" applyProtection="false">
      <alignment horizontal="center" vertical="center" textRotation="0" wrapText="tru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7" fontId="15" fillId="0" borderId="0" xfId="0" applyFont="true" applyBorder="false" applyAlignment="true" applyProtection="false">
      <alignment horizontal="center" vertical="center" textRotation="0" wrapText="true" indent="0" shrinkToFit="false"/>
      <protection locked="true" hidden="false"/>
    </xf>
    <xf numFmtId="165" fontId="15" fillId="6" borderId="0" xfId="0" applyFont="true" applyBorder="false" applyAlignment="true" applyProtection="false">
      <alignment horizontal="center" vertical="center" textRotation="0" wrapText="true" indent="0" shrinkToFit="false"/>
      <protection locked="true" hidden="false"/>
    </xf>
    <xf numFmtId="173" fontId="15" fillId="0" borderId="0" xfId="0" applyFont="true" applyBorder="fals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9" fontId="15" fillId="6" borderId="0" xfId="0" applyFont="true" applyBorder="false" applyAlignment="true" applyProtection="false">
      <alignment horizontal="center" vertical="center" textRotation="0" wrapText="true" indent="0" shrinkToFit="false"/>
      <protection locked="true" hidden="false"/>
    </xf>
    <xf numFmtId="174" fontId="15" fillId="0" borderId="0" xfId="0" applyFont="true" applyBorder="false" applyAlignment="true" applyProtection="false">
      <alignment horizontal="center" vertical="center" textRotation="0" wrapText="true" indent="0" shrinkToFit="false"/>
      <protection locked="true" hidden="false"/>
    </xf>
    <xf numFmtId="170" fontId="15" fillId="6" borderId="0" xfId="0" applyFont="true" applyBorder="false" applyAlignment="true" applyProtection="false">
      <alignment horizontal="center" vertical="center" textRotation="0" wrapText="true" indent="0" shrinkToFit="false"/>
      <protection locked="true" hidden="false"/>
    </xf>
    <xf numFmtId="173" fontId="15" fillId="6" borderId="0" xfId="0" applyFont="true" applyBorder="false" applyAlignment="true" applyProtection="false">
      <alignment horizontal="center" vertical="center" textRotation="0" wrapText="true" indent="0" shrinkToFit="false"/>
      <protection locked="true" hidden="false"/>
    </xf>
    <xf numFmtId="165" fontId="20" fillId="13" borderId="0" xfId="0" applyFont="true" applyBorder="false" applyAlignment="true" applyProtection="false">
      <alignment horizontal="center" vertical="center" textRotation="0" wrapText="true" indent="0" shrinkToFit="false"/>
      <protection locked="true" hidden="false"/>
    </xf>
    <xf numFmtId="165" fontId="21" fillId="14" borderId="0" xfId="0" applyFont="true" applyBorder="false" applyAlignment="true" applyProtection="false">
      <alignment horizontal="center" vertical="center" textRotation="0" wrapText="true" indent="0" shrinkToFit="false"/>
      <protection locked="true" hidden="false"/>
    </xf>
    <xf numFmtId="165" fontId="22" fillId="15"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2E6B3B"/>
      <rgbColor rgb="FFCCCCCC"/>
      <rgbColor rgb="FF888888"/>
      <rgbColor rgb="FF9999FF"/>
      <rgbColor rgb="FF8B3A3A"/>
      <rgbColor rgb="FFFAF1D6"/>
      <rgbColor rgb="FFDEEEDF"/>
      <rgbColor rgb="FF660066"/>
      <rgbColor rgb="FFFF8080"/>
      <rgbColor rgb="FF0066CC"/>
      <rgbColor rgb="FFF5E0E0"/>
      <rgbColor rgb="FF000080"/>
      <rgbColor rgb="FFFF00FF"/>
      <rgbColor rgb="FFFFFF00"/>
      <rgbColor rgb="FF00FFFF"/>
      <rgbColor rgb="FF800080"/>
      <rgbColor rgb="FF800000"/>
      <rgbColor rgb="FF008080"/>
      <rgbColor rgb="FF0000FF"/>
      <rgbColor rgb="FF00CCFF"/>
      <rgbColor rgb="FFEEF0F4"/>
      <rgbColor rgb="FFC6EFCE"/>
      <rgbColor rgb="FFFFEB9C"/>
      <rgbColor rgb="FFF7F7F7"/>
      <rgbColor rgb="FFFF99CC"/>
      <rgbColor rgb="FFCC99FF"/>
      <rgbColor rgb="FFFFC7CE"/>
      <rgbColor rgb="FF3366FF"/>
      <rgbColor rgb="FF33CCCC"/>
      <rgbColor rgb="FF99CC00"/>
      <rgbColor rgb="FFFFCC00"/>
      <rgbColor rgb="FFC29F1A"/>
      <rgbColor rgb="FFFF6600"/>
      <rgbColor rgb="FF666666"/>
      <rgbColor rgb="FF969696"/>
      <rgbColor rgb="FF003366"/>
      <rgbColor rgb="FF339966"/>
      <rgbColor rgb="FF006100"/>
      <rgbColor rgb="FF555555"/>
      <rgbColor rgb="FF9C5700"/>
      <rgbColor rgb="FF993366"/>
      <rgbColor rgb="FF2E4172"/>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0"/>
  </cols>
  <sheetData>
    <row r="1" customFormat="false" ht="19.5" hidden="false" customHeight="true" outlineLevel="0" collapsed="false">
      <c r="A1" s="2" t="s">
        <v>0</v>
      </c>
      <c r="B1" s="2"/>
    </row>
    <row r="2" customFormat="false" ht="15" hidden="false" customHeight="true" outlineLevel="0" collapsed="false">
      <c r="A2" s="3" t="s">
        <v>1</v>
      </c>
      <c r="B2" s="3"/>
    </row>
    <row r="3" customFormat="false" ht="15" hidden="false" customHeight="true" outlineLevel="0" collapsed="false">
      <c r="A3" s="3" t="s">
        <v>2</v>
      </c>
      <c r="B3" s="3"/>
    </row>
    <row r="4" customFormat="false" ht="15" hidden="false" customHeight="true" outlineLevel="0" collapsed="false">
      <c r="A4" s="4"/>
      <c r="B4" s="5"/>
    </row>
    <row r="5" customFormat="false" ht="15" hidden="false" customHeight="true" outlineLevel="0" collapsed="false">
      <c r="A5" s="6" t="s">
        <v>3</v>
      </c>
      <c r="B5" s="7"/>
    </row>
    <row r="6" customFormat="false" ht="41.25" hidden="false" customHeight="true" outlineLevel="0" collapsed="false">
      <c r="A6" s="4"/>
      <c r="B6" s="5" t="s">
        <v>4</v>
      </c>
    </row>
    <row r="7" customFormat="false" ht="15" hidden="false" customHeight="true" outlineLevel="0" collapsed="false">
      <c r="A7" s="4"/>
      <c r="B7" s="5"/>
    </row>
    <row r="8" customFormat="false" ht="15" hidden="false" customHeight="true" outlineLevel="0" collapsed="false">
      <c r="A8" s="6" t="s">
        <v>5</v>
      </c>
      <c r="B8" s="7"/>
    </row>
    <row r="9" customFormat="false" ht="27.75" hidden="false" customHeight="true" outlineLevel="0" collapsed="false">
      <c r="A9" s="4" t="s">
        <v>6</v>
      </c>
      <c r="B9" s="5" t="s">
        <v>7</v>
      </c>
    </row>
    <row r="10" customFormat="false" ht="27.75" hidden="false" customHeight="true" outlineLevel="0" collapsed="false">
      <c r="A10" s="4" t="s">
        <v>8</v>
      </c>
      <c r="B10" s="5" t="s">
        <v>9</v>
      </c>
    </row>
    <row r="11" customFormat="false" ht="27.75" hidden="false" customHeight="true" outlineLevel="0" collapsed="false">
      <c r="A11" s="4" t="s">
        <v>10</v>
      </c>
      <c r="B11" s="5" t="s">
        <v>11</v>
      </c>
    </row>
    <row r="12" customFormat="false" ht="15" hidden="false" customHeight="true" outlineLevel="0" collapsed="false">
      <c r="A12" s="4" t="s">
        <v>12</v>
      </c>
      <c r="B12" s="5" t="s">
        <v>13</v>
      </c>
    </row>
    <row r="13" customFormat="false" ht="15" hidden="false" customHeight="true" outlineLevel="0" collapsed="false">
      <c r="A13" s="4"/>
      <c r="B13" s="5"/>
    </row>
    <row r="14" customFormat="false" ht="26.25" hidden="false" customHeight="true" outlineLevel="0" collapsed="false">
      <c r="A14" s="6" t="s">
        <v>14</v>
      </c>
      <c r="B14" s="7"/>
    </row>
    <row r="15" customFormat="false" ht="15" hidden="false" customHeight="true" outlineLevel="0" collapsed="false">
      <c r="A15" s="4" t="s">
        <v>15</v>
      </c>
      <c r="B15" s="5" t="s">
        <v>16</v>
      </c>
    </row>
    <row r="16" customFormat="false" ht="15" hidden="false" customHeight="true" outlineLevel="0" collapsed="false">
      <c r="A16" s="4" t="s">
        <v>17</v>
      </c>
      <c r="B16" s="5" t="s">
        <v>18</v>
      </c>
    </row>
    <row r="17" customFormat="false" ht="15" hidden="false" customHeight="true" outlineLevel="0" collapsed="false">
      <c r="A17" s="4" t="s">
        <v>19</v>
      </c>
      <c r="B17" s="5" t="s">
        <v>20</v>
      </c>
    </row>
    <row r="18" customFormat="false" ht="15" hidden="false" customHeight="true" outlineLevel="0" collapsed="false">
      <c r="A18" s="4" t="s">
        <v>21</v>
      </c>
      <c r="B18" s="5" t="s">
        <v>22</v>
      </c>
    </row>
    <row r="19" customFormat="false" ht="15" hidden="false" customHeight="true" outlineLevel="0" collapsed="false">
      <c r="A19" s="4" t="s">
        <v>23</v>
      </c>
      <c r="B19" s="5" t="s">
        <v>24</v>
      </c>
    </row>
    <row r="20" customFormat="false" ht="15" hidden="false" customHeight="true" outlineLevel="0" collapsed="false">
      <c r="A20" s="4"/>
      <c r="B20" s="5"/>
    </row>
    <row r="21" customFormat="false" ht="15" hidden="false" customHeight="true" outlineLevel="0" collapsed="false">
      <c r="A21" s="6" t="s">
        <v>25</v>
      </c>
      <c r="B21" s="7"/>
    </row>
    <row r="22" customFormat="false" ht="15" hidden="false" customHeight="true" outlineLevel="0" collapsed="false">
      <c r="A22" s="4" t="s">
        <v>26</v>
      </c>
      <c r="B22" s="5" t="s">
        <v>27</v>
      </c>
    </row>
    <row r="23" customFormat="false" ht="15" hidden="false" customHeight="true" outlineLevel="0" collapsed="false">
      <c r="A23" s="4" t="s">
        <v>28</v>
      </c>
      <c r="B23" s="5" t="s">
        <v>29</v>
      </c>
    </row>
    <row r="24" customFormat="false" ht="15" hidden="false" customHeight="true" outlineLevel="0" collapsed="false">
      <c r="A24" s="4" t="s">
        <v>30</v>
      </c>
      <c r="B24" s="5" t="s">
        <v>31</v>
      </c>
    </row>
    <row r="25" customFormat="false" ht="15" hidden="false" customHeight="true" outlineLevel="0" collapsed="false">
      <c r="A25" s="4" t="s">
        <v>32</v>
      </c>
      <c r="B25" s="5" t="s">
        <v>33</v>
      </c>
    </row>
    <row r="26" customFormat="false" ht="15" hidden="false" customHeight="true" outlineLevel="0" collapsed="false">
      <c r="A26" s="4" t="s">
        <v>34</v>
      </c>
      <c r="B26" s="5" t="s">
        <v>35</v>
      </c>
    </row>
    <row r="27" customFormat="false" ht="15" hidden="false" customHeight="true" outlineLevel="0" collapsed="false">
      <c r="A27" s="4"/>
      <c r="B27" s="5"/>
    </row>
    <row r="28" customFormat="false" ht="15" hidden="false" customHeight="true" outlineLevel="0" collapsed="false">
      <c r="A28" s="6" t="s">
        <v>36</v>
      </c>
      <c r="B28" s="7"/>
    </row>
    <row r="29" customFormat="false" ht="15" hidden="false" customHeight="true" outlineLevel="0" collapsed="false">
      <c r="A29" s="4"/>
      <c r="B29" s="5" t="s">
        <v>37</v>
      </c>
    </row>
    <row r="30" customFormat="false" ht="15" hidden="false" customHeight="true" outlineLevel="0" collapsed="false">
      <c r="A30" s="4"/>
      <c r="B30" s="5" t="s">
        <v>38</v>
      </c>
    </row>
    <row r="31" customFormat="false" ht="15" hidden="false" customHeight="true" outlineLevel="0" collapsed="false">
      <c r="A31" s="4"/>
      <c r="B31" s="5" t="s">
        <v>39</v>
      </c>
    </row>
    <row r="32" customFormat="false" ht="15" hidden="false" customHeight="true" outlineLevel="0" collapsed="false">
      <c r="A32" s="4"/>
      <c r="B32" s="5" t="s">
        <v>40</v>
      </c>
    </row>
    <row r="33" customFormat="false" ht="15" hidden="false" customHeight="true" outlineLevel="0" collapsed="false">
      <c r="A33" s="4"/>
      <c r="B33" s="5" t="s">
        <v>41</v>
      </c>
    </row>
    <row r="34" customFormat="false" ht="15" hidden="false" customHeight="true" outlineLevel="0" collapsed="false">
      <c r="A34" s="4"/>
      <c r="B34" s="5" t="s">
        <v>42</v>
      </c>
    </row>
    <row r="35" customFormat="false" ht="15" hidden="false" customHeight="true" outlineLevel="0" collapsed="false">
      <c r="A35" s="4"/>
      <c r="B35" s="5"/>
    </row>
    <row r="36" customFormat="false" ht="26.25" hidden="false" customHeight="true" outlineLevel="0" collapsed="false">
      <c r="A36" s="6" t="s">
        <v>43</v>
      </c>
      <c r="B36" s="7"/>
    </row>
    <row r="37" customFormat="false" ht="15" hidden="false" customHeight="true" outlineLevel="0" collapsed="false">
      <c r="A37" s="4" t="s">
        <v>44</v>
      </c>
      <c r="B37" s="5" t="s">
        <v>45</v>
      </c>
    </row>
    <row r="38" customFormat="false" ht="15" hidden="false" customHeight="true" outlineLevel="0" collapsed="false">
      <c r="A38" s="4" t="s">
        <v>46</v>
      </c>
      <c r="B38" s="5" t="s">
        <v>47</v>
      </c>
    </row>
    <row r="39" customFormat="false" ht="15" hidden="false" customHeight="true" outlineLevel="0" collapsed="false">
      <c r="A39" s="4" t="s">
        <v>48</v>
      </c>
      <c r="B39" s="5" t="s">
        <v>49</v>
      </c>
    </row>
    <row r="40" customFormat="false" ht="15" hidden="false" customHeight="true" outlineLevel="0" collapsed="false">
      <c r="A40" s="4" t="s">
        <v>50</v>
      </c>
      <c r="B40" s="5" t="s">
        <v>51</v>
      </c>
    </row>
    <row r="41" customFormat="false" ht="15" hidden="false" customHeight="true" outlineLevel="0" collapsed="false">
      <c r="A41" s="4"/>
      <c r="B41" s="5"/>
    </row>
    <row r="42" customFormat="false" ht="15" hidden="false" customHeight="true" outlineLevel="0" collapsed="false">
      <c r="A42" s="6" t="s">
        <v>52</v>
      </c>
      <c r="B42" s="7"/>
    </row>
    <row r="43" customFormat="false" ht="15" hidden="false" customHeight="true" outlineLevel="0" collapsed="false">
      <c r="A43" s="4" t="s">
        <v>53</v>
      </c>
      <c r="B43" s="5" t="s">
        <v>54</v>
      </c>
    </row>
    <row r="44" customFormat="false" ht="27.75" hidden="false" customHeight="true" outlineLevel="0" collapsed="false">
      <c r="A44" s="4" t="s">
        <v>55</v>
      </c>
      <c r="B44" s="5" t="s">
        <v>56</v>
      </c>
    </row>
    <row r="45" customFormat="false" ht="81.75" hidden="false" customHeight="true" outlineLevel="0" collapsed="false">
      <c r="A45" s="4" t="s">
        <v>57</v>
      </c>
      <c r="B45" s="5" t="s">
        <v>58</v>
      </c>
    </row>
    <row r="46" customFormat="false" ht="41.25" hidden="false" customHeight="true" outlineLevel="0" collapsed="false">
      <c r="A46" s="4" t="s">
        <v>59</v>
      </c>
      <c r="B46" s="5" t="s">
        <v>60</v>
      </c>
    </row>
    <row r="47" customFormat="false" ht="68.25" hidden="false" customHeight="true" outlineLevel="0" collapsed="false">
      <c r="A47" s="4" t="s">
        <v>61</v>
      </c>
      <c r="B47" s="5" t="s">
        <v>62</v>
      </c>
    </row>
    <row r="48" customFormat="false" ht="81.75" hidden="false" customHeight="true" outlineLevel="0" collapsed="false">
      <c r="A48" s="4" t="s">
        <v>63</v>
      </c>
      <c r="B48" s="5" t="s">
        <v>64</v>
      </c>
    </row>
    <row r="49" customFormat="false" ht="68.25" hidden="false" customHeight="true" outlineLevel="0" collapsed="false">
      <c r="A49" s="4" t="s">
        <v>65</v>
      </c>
      <c r="B49" s="5" t="s">
        <v>66</v>
      </c>
    </row>
    <row r="50" customFormat="false" ht="68.25" hidden="false" customHeight="true" outlineLevel="0" collapsed="false">
      <c r="A50" s="4" t="s">
        <v>67</v>
      </c>
      <c r="B50" s="5" t="s">
        <v>68</v>
      </c>
    </row>
    <row r="51" customFormat="false" ht="95.5" hidden="false" customHeight="false" outlineLevel="0" collapsed="false">
      <c r="A51" s="4" t="s">
        <v>69</v>
      </c>
      <c r="B51" s="5" t="s">
        <v>70</v>
      </c>
    </row>
  </sheetData>
  <mergeCells count="3">
    <mergeCell ref="A1:B1"/>
    <mergeCell ref="A2:B2"/>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16"/>
    <col collapsed="false" customWidth="true" hidden="false" outlineLevel="0" max="4" min="4" style="1" width="12"/>
    <col collapsed="false" customWidth="true" hidden="false" outlineLevel="0" max="5" min="5" style="1" width="50"/>
  </cols>
  <sheetData>
    <row r="1" customFormat="false" ht="19.5" hidden="false" customHeight="true" outlineLevel="0" collapsed="false">
      <c r="A1" s="2" t="s">
        <v>71</v>
      </c>
      <c r="B1" s="2"/>
      <c r="C1" s="2"/>
      <c r="D1" s="2"/>
      <c r="E1" s="2"/>
    </row>
    <row r="2" customFormat="false" ht="15" hidden="false" customHeight="true" outlineLevel="0" collapsed="false">
      <c r="A2" s="3" t="s">
        <v>72</v>
      </c>
      <c r="B2" s="3"/>
      <c r="C2" s="3"/>
      <c r="D2" s="3"/>
      <c r="E2" s="3"/>
    </row>
    <row r="4" customFormat="false" ht="27.75" hidden="false" customHeight="true" outlineLevel="0" collapsed="false">
      <c r="A4" s="8" t="s">
        <v>73</v>
      </c>
      <c r="B4" s="8" t="s">
        <v>74</v>
      </c>
      <c r="C4" s="8" t="s">
        <v>75</v>
      </c>
      <c r="D4" s="8" t="s">
        <v>76</v>
      </c>
      <c r="E4" s="8" t="s">
        <v>77</v>
      </c>
    </row>
    <row r="5" customFormat="false" ht="21.75" hidden="false" customHeight="true" outlineLevel="0" collapsed="false">
      <c r="A5" s="9" t="s">
        <v>78</v>
      </c>
      <c r="B5" s="9"/>
      <c r="C5" s="9"/>
      <c r="D5" s="9"/>
      <c r="E5" s="9"/>
    </row>
    <row r="6" customFormat="false" ht="15" hidden="false" customHeight="true" outlineLevel="0" collapsed="false">
      <c r="A6" s="10" t="n">
        <v>1</v>
      </c>
      <c r="B6" s="11" t="s">
        <v>79</v>
      </c>
      <c r="C6" s="12" t="n">
        <v>30</v>
      </c>
      <c r="D6" s="13" t="s">
        <v>80</v>
      </c>
      <c r="E6" s="14" t="s">
        <v>81</v>
      </c>
    </row>
    <row r="7" customFormat="false" ht="15" hidden="false" customHeight="true" outlineLevel="0" collapsed="false">
      <c r="A7" s="10" t="n">
        <v>2</v>
      </c>
      <c r="B7" s="11" t="s">
        <v>82</v>
      </c>
      <c r="C7" s="12" t="n">
        <v>60</v>
      </c>
      <c r="D7" s="13" t="s">
        <v>83</v>
      </c>
      <c r="E7" s="14" t="s">
        <v>84</v>
      </c>
    </row>
    <row r="8" customFormat="false" ht="15" hidden="false" customHeight="true" outlineLevel="0" collapsed="false">
      <c r="A8" s="10" t="n">
        <v>3</v>
      </c>
      <c r="B8" s="11" t="s">
        <v>85</v>
      </c>
      <c r="C8" s="12" t="n">
        <v>5</v>
      </c>
      <c r="D8" s="13" t="s">
        <v>86</v>
      </c>
      <c r="E8" s="14" t="s">
        <v>87</v>
      </c>
    </row>
    <row r="9" customFormat="false" ht="15" hidden="false" customHeight="true" outlineLevel="0" collapsed="false">
      <c r="A9" s="10" t="n">
        <v>4</v>
      </c>
      <c r="B9" s="11" t="s">
        <v>88</v>
      </c>
      <c r="C9" s="12" t="n">
        <v>6</v>
      </c>
      <c r="D9" s="13" t="s">
        <v>89</v>
      </c>
      <c r="E9" s="14" t="s">
        <v>90</v>
      </c>
    </row>
    <row r="10" customFormat="false" ht="15" hidden="false" customHeight="true" outlineLevel="0" collapsed="false">
      <c r="A10" s="10" t="n">
        <v>5</v>
      </c>
      <c r="B10" s="11" t="s">
        <v>91</v>
      </c>
      <c r="C10" s="12" t="n">
        <v>3</v>
      </c>
      <c r="D10" s="13" t="s">
        <v>92</v>
      </c>
      <c r="E10" s="14" t="s">
        <v>93</v>
      </c>
    </row>
    <row r="11" customFormat="false" ht="21.75" hidden="false" customHeight="true" outlineLevel="0" collapsed="false">
      <c r="A11" s="9" t="s">
        <v>94</v>
      </c>
      <c r="B11" s="9"/>
      <c r="C11" s="9"/>
      <c r="D11" s="9"/>
      <c r="E11" s="9"/>
    </row>
    <row r="12" customFormat="false" ht="15" hidden="false" customHeight="true" outlineLevel="0" collapsed="false">
      <c r="A12" s="10" t="n">
        <v>6</v>
      </c>
      <c r="B12" s="11" t="s">
        <v>95</v>
      </c>
      <c r="C12" s="12" t="n">
        <v>100</v>
      </c>
      <c r="D12" s="13" t="s">
        <v>96</v>
      </c>
      <c r="E12" s="14" t="s">
        <v>97</v>
      </c>
    </row>
    <row r="13" customFormat="false" ht="15" hidden="false" customHeight="true" outlineLevel="0" collapsed="false">
      <c r="A13" s="10" t="n">
        <v>7</v>
      </c>
      <c r="B13" s="11" t="s">
        <v>98</v>
      </c>
      <c r="C13" s="15" t="n">
        <v>0.08</v>
      </c>
      <c r="D13" s="13" t="s">
        <v>99</v>
      </c>
      <c r="E13" s="14" t="s">
        <v>100</v>
      </c>
    </row>
    <row r="14" customFormat="false" ht="15" hidden="false" customHeight="true" outlineLevel="0" collapsed="false">
      <c r="A14" s="10" t="n">
        <v>8</v>
      </c>
      <c r="B14" s="11" t="s">
        <v>101</v>
      </c>
      <c r="C14" s="12" t="n">
        <v>3</v>
      </c>
      <c r="D14" s="13" t="s">
        <v>102</v>
      </c>
      <c r="E14" s="14" t="s">
        <v>103</v>
      </c>
    </row>
    <row r="15" customFormat="false" ht="15" hidden="false" customHeight="true" outlineLevel="0" collapsed="false">
      <c r="A15" s="10" t="n">
        <v>9</v>
      </c>
      <c r="B15" s="11" t="s">
        <v>104</v>
      </c>
      <c r="C15" s="12" t="n">
        <v>10</v>
      </c>
      <c r="D15" s="13" t="s">
        <v>89</v>
      </c>
      <c r="E15" s="14" t="s">
        <v>105</v>
      </c>
    </row>
    <row r="16" customFormat="false" ht="15" hidden="false" customHeight="true" outlineLevel="0" collapsed="false">
      <c r="A16" s="10" t="n">
        <v>10</v>
      </c>
      <c r="B16" s="11" t="s">
        <v>106</v>
      </c>
      <c r="C16" s="12" t="n">
        <v>12</v>
      </c>
      <c r="D16" s="13" t="s">
        <v>107</v>
      </c>
      <c r="E16" s="14" t="s">
        <v>108</v>
      </c>
    </row>
    <row r="17" customFormat="false" ht="15" hidden="false" customHeight="true" outlineLevel="0" collapsed="false">
      <c r="A17" s="10" t="n">
        <v>11</v>
      </c>
      <c r="B17" s="11" t="s">
        <v>109</v>
      </c>
      <c r="C17" s="15" t="n">
        <v>0.1</v>
      </c>
      <c r="D17" s="13" t="s">
        <v>99</v>
      </c>
      <c r="E17" s="14" t="s">
        <v>110</v>
      </c>
    </row>
    <row r="18" customFormat="false" ht="21.75" hidden="false" customHeight="true" outlineLevel="0" collapsed="false">
      <c r="A18" s="9" t="s">
        <v>111</v>
      </c>
      <c r="B18" s="9"/>
      <c r="C18" s="9"/>
      <c r="D18" s="9"/>
      <c r="E18" s="9"/>
    </row>
    <row r="19" customFormat="false" ht="15" hidden="false" customHeight="true" outlineLevel="0" collapsed="false">
      <c r="A19" s="10" t="n">
        <v>12</v>
      </c>
      <c r="B19" s="11" t="s">
        <v>112</v>
      </c>
      <c r="C19" s="12" t="n">
        <v>100</v>
      </c>
      <c r="D19" s="13" t="s">
        <v>113</v>
      </c>
      <c r="E19" s="14" t="s">
        <v>114</v>
      </c>
    </row>
    <row r="20" customFormat="false" ht="15" hidden="false" customHeight="true" outlineLevel="0" collapsed="false">
      <c r="A20" s="10" t="n">
        <v>13</v>
      </c>
      <c r="B20" s="11" t="s">
        <v>115</v>
      </c>
      <c r="C20" s="15" t="n">
        <v>0.15</v>
      </c>
      <c r="D20" s="13" t="s">
        <v>99</v>
      </c>
      <c r="E20" s="14" t="s">
        <v>116</v>
      </c>
    </row>
    <row r="21" customFormat="false" ht="15" hidden="false" customHeight="true" outlineLevel="0" collapsed="false">
      <c r="A21" s="10" t="n">
        <v>14</v>
      </c>
      <c r="B21" s="11" t="s">
        <v>117</v>
      </c>
      <c r="C21" s="12" t="n">
        <v>25</v>
      </c>
      <c r="D21" s="13" t="s">
        <v>113</v>
      </c>
      <c r="E21" s="14" t="s">
        <v>118</v>
      </c>
    </row>
    <row r="22" customFormat="false" ht="15" hidden="false" customHeight="true" outlineLevel="0" collapsed="false">
      <c r="A22" s="10" t="n">
        <v>15</v>
      </c>
      <c r="B22" s="11" t="s">
        <v>119</v>
      </c>
      <c r="C22" s="12" t="n">
        <v>15</v>
      </c>
      <c r="D22" s="13" t="s">
        <v>113</v>
      </c>
      <c r="E22" s="14" t="s">
        <v>120</v>
      </c>
    </row>
    <row r="23" customFormat="false" ht="15" hidden="false" customHeight="true" outlineLevel="0" collapsed="false">
      <c r="A23" s="10" t="n">
        <v>16</v>
      </c>
      <c r="B23" s="11" t="s">
        <v>121</v>
      </c>
      <c r="C23" s="12" t="n">
        <v>80</v>
      </c>
      <c r="D23" s="13" t="s">
        <v>113</v>
      </c>
      <c r="E23" s="14" t="s">
        <v>122</v>
      </c>
    </row>
    <row r="24" customFormat="false" ht="21.75" hidden="false" customHeight="true" outlineLevel="0" collapsed="false">
      <c r="A24" s="9" t="s">
        <v>123</v>
      </c>
      <c r="B24" s="9"/>
      <c r="C24" s="9"/>
      <c r="D24" s="9"/>
      <c r="E24" s="9"/>
    </row>
    <row r="25" customFormat="false" ht="15" hidden="false" customHeight="true" outlineLevel="0" collapsed="false">
      <c r="A25" s="10" t="n">
        <v>17</v>
      </c>
      <c r="B25" s="11" t="s">
        <v>124</v>
      </c>
      <c r="C25" s="12" t="n">
        <v>40</v>
      </c>
      <c r="D25" s="13" t="s">
        <v>96</v>
      </c>
      <c r="E25" s="14" t="s">
        <v>125</v>
      </c>
    </row>
    <row r="26" customFormat="false" ht="21.75" hidden="false" customHeight="true" outlineLevel="0" collapsed="false">
      <c r="A26" s="10" t="n">
        <v>18</v>
      </c>
      <c r="B26" s="11" t="s">
        <v>126</v>
      </c>
      <c r="C26" s="15" t="n">
        <v>0.09</v>
      </c>
      <c r="D26" s="13" t="s">
        <v>99</v>
      </c>
      <c r="E26" s="14" t="s">
        <v>127</v>
      </c>
    </row>
    <row r="27" customFormat="false" ht="15" hidden="false" customHeight="true" outlineLevel="0" collapsed="false">
      <c r="A27" s="10" t="n">
        <v>19</v>
      </c>
      <c r="B27" s="11" t="s">
        <v>128</v>
      </c>
      <c r="C27" s="16" t="n">
        <v>3</v>
      </c>
      <c r="D27" s="13" t="s">
        <v>129</v>
      </c>
      <c r="E27" s="14" t="s">
        <v>130</v>
      </c>
    </row>
    <row r="28" customFormat="false" ht="15" hidden="false" customHeight="true" outlineLevel="0" collapsed="false">
      <c r="A28" s="10" t="n">
        <v>20</v>
      </c>
      <c r="B28" s="11" t="s">
        <v>131</v>
      </c>
      <c r="C28" s="16" t="n">
        <v>8</v>
      </c>
      <c r="D28" s="13" t="s">
        <v>129</v>
      </c>
      <c r="E28" s="14" t="s">
        <v>132</v>
      </c>
    </row>
    <row r="29" customFormat="false" ht="15" hidden="false" customHeight="true" outlineLevel="0" collapsed="false">
      <c r="A29" s="10" t="n">
        <v>21</v>
      </c>
      <c r="B29" s="11" t="s">
        <v>133</v>
      </c>
      <c r="C29" s="12" t="n">
        <v>6</v>
      </c>
      <c r="D29" s="13" t="s">
        <v>107</v>
      </c>
      <c r="E29" s="14" t="s">
        <v>134</v>
      </c>
    </row>
    <row r="30" customFormat="false" ht="15" hidden="false" customHeight="true" outlineLevel="0" collapsed="false">
      <c r="A30" s="10" t="n">
        <v>22</v>
      </c>
      <c r="B30" s="11" t="s">
        <v>135</v>
      </c>
      <c r="C30" s="17" t="n">
        <v>0.08</v>
      </c>
      <c r="D30" s="13" t="s">
        <v>99</v>
      </c>
      <c r="E30" s="14" t="s">
        <v>136</v>
      </c>
    </row>
    <row r="31" customFormat="false" ht="15" hidden="false" customHeight="true" outlineLevel="0" collapsed="false">
      <c r="A31" s="10" t="n">
        <v>23</v>
      </c>
      <c r="B31" s="11" t="s">
        <v>137</v>
      </c>
      <c r="C31" s="16" t="n">
        <v>1.6</v>
      </c>
      <c r="D31" s="13" t="s">
        <v>129</v>
      </c>
      <c r="E31" s="14"/>
    </row>
    <row r="32" customFormat="false" ht="15" hidden="false" customHeight="true" outlineLevel="0" collapsed="false">
      <c r="A32" s="10" t="n">
        <v>24</v>
      </c>
      <c r="B32" s="11" t="s">
        <v>138</v>
      </c>
      <c r="C32" s="16" t="n">
        <v>2.5</v>
      </c>
      <c r="D32" s="13" t="s">
        <v>129</v>
      </c>
      <c r="E32" s="14"/>
    </row>
    <row r="33" customFormat="false" ht="21.75" hidden="false" customHeight="true" outlineLevel="0" collapsed="false">
      <c r="A33" s="9" t="s">
        <v>139</v>
      </c>
      <c r="B33" s="9"/>
      <c r="C33" s="9"/>
      <c r="D33" s="9"/>
      <c r="E33" s="9"/>
    </row>
    <row r="34" customFormat="false" ht="15" hidden="false" customHeight="true" outlineLevel="0" collapsed="false">
      <c r="A34" s="10" t="n">
        <v>25</v>
      </c>
      <c r="B34" s="11" t="s">
        <v>140</v>
      </c>
      <c r="C34" s="18" t="n">
        <v>1</v>
      </c>
      <c r="D34" s="13" t="s">
        <v>141</v>
      </c>
      <c r="E34" s="14" t="s">
        <v>142</v>
      </c>
    </row>
    <row r="35" customFormat="false" ht="15" hidden="false" customHeight="true" outlineLevel="0" collapsed="false">
      <c r="A35" s="10" t="n">
        <v>26</v>
      </c>
      <c r="B35" s="11" t="s">
        <v>143</v>
      </c>
      <c r="C35" s="15" t="n">
        <v>0.2</v>
      </c>
      <c r="D35" s="13" t="s">
        <v>141</v>
      </c>
      <c r="E35" s="14" t="s">
        <v>144</v>
      </c>
    </row>
    <row r="36" customFormat="false" ht="15" hidden="false" customHeight="true" outlineLevel="0" collapsed="false">
      <c r="A36" s="10" t="n">
        <v>27</v>
      </c>
      <c r="B36" s="11" t="s">
        <v>145</v>
      </c>
      <c r="C36" s="15" t="n">
        <v>0.05</v>
      </c>
      <c r="D36" s="13" t="s">
        <v>141</v>
      </c>
      <c r="E36" s="14" t="s">
        <v>146</v>
      </c>
    </row>
    <row r="37" customFormat="false" ht="15" hidden="false" customHeight="true" outlineLevel="0" collapsed="false">
      <c r="A37" s="10" t="n">
        <v>28</v>
      </c>
      <c r="B37" s="11" t="s">
        <v>147</v>
      </c>
      <c r="C37" s="17" t="n">
        <v>0.65</v>
      </c>
      <c r="D37" s="13" t="s">
        <v>141</v>
      </c>
      <c r="E37" s="14" t="s">
        <v>148</v>
      </c>
    </row>
    <row r="38" customFormat="false" ht="15" hidden="false" customHeight="true" outlineLevel="0" collapsed="false">
      <c r="A38" s="10" t="n">
        <v>29</v>
      </c>
      <c r="B38" s="11" t="s">
        <v>149</v>
      </c>
      <c r="C38" s="17" t="n">
        <v>0.3</v>
      </c>
      <c r="D38" s="13" t="s">
        <v>141</v>
      </c>
      <c r="E38" s="14" t="s">
        <v>150</v>
      </c>
    </row>
    <row r="39" customFormat="false" ht="15" hidden="false" customHeight="true" outlineLevel="0" collapsed="false">
      <c r="A39" s="10" t="n">
        <v>30</v>
      </c>
      <c r="B39" s="11" t="s">
        <v>151</v>
      </c>
      <c r="C39" s="15" t="n">
        <v>0.1</v>
      </c>
      <c r="D39" s="13" t="s">
        <v>141</v>
      </c>
      <c r="E39" s="14" t="s">
        <v>152</v>
      </c>
    </row>
    <row r="40" customFormat="false" ht="15" hidden="false" customHeight="true" outlineLevel="0" collapsed="false">
      <c r="A40" s="10" t="n">
        <v>31</v>
      </c>
      <c r="B40" s="11" t="s">
        <v>153</v>
      </c>
      <c r="C40" s="18" t="n">
        <v>1</v>
      </c>
      <c r="D40" s="13" t="s">
        <v>141</v>
      </c>
      <c r="E40" s="14" t="s">
        <v>154</v>
      </c>
    </row>
    <row r="41" customFormat="false" ht="15" hidden="false" customHeight="true" outlineLevel="0" collapsed="false">
      <c r="A41" s="10" t="n">
        <v>32</v>
      </c>
      <c r="B41" s="11" t="s">
        <v>155</v>
      </c>
      <c r="C41" s="15" t="n">
        <v>0.6</v>
      </c>
      <c r="D41" s="13" t="s">
        <v>141</v>
      </c>
      <c r="E41" s="14" t="s">
        <v>156</v>
      </c>
    </row>
    <row r="42" customFormat="false" ht="15" hidden="false" customHeight="true" outlineLevel="0" collapsed="false">
      <c r="A42" s="10" t="n">
        <v>33</v>
      </c>
      <c r="B42" s="11" t="s">
        <v>157</v>
      </c>
      <c r="C42" s="15" t="n">
        <v>0.15</v>
      </c>
      <c r="D42" s="13" t="s">
        <v>141</v>
      </c>
      <c r="E42" s="14" t="s">
        <v>158</v>
      </c>
    </row>
    <row r="43" customFormat="false" ht="21.75" hidden="false" customHeight="true" outlineLevel="0" collapsed="false">
      <c r="A43" s="9" t="s">
        <v>159</v>
      </c>
      <c r="B43" s="9"/>
      <c r="C43" s="9"/>
      <c r="D43" s="9"/>
      <c r="E43" s="9"/>
    </row>
    <row r="44" customFormat="false" ht="15" hidden="false" customHeight="true" outlineLevel="0" collapsed="false">
      <c r="A44" s="10" t="n">
        <v>34</v>
      </c>
      <c r="B44" s="11" t="s">
        <v>160</v>
      </c>
      <c r="C44" s="19" t="n">
        <v>8</v>
      </c>
      <c r="D44" s="13" t="s">
        <v>161</v>
      </c>
      <c r="E44" s="14" t="s">
        <v>162</v>
      </c>
    </row>
    <row r="45" customFormat="false" ht="15" hidden="false" customHeight="true" outlineLevel="0" collapsed="false">
      <c r="A45" s="10" t="n">
        <v>35</v>
      </c>
      <c r="B45" s="11" t="s">
        <v>163</v>
      </c>
      <c r="C45" s="12" t="n">
        <v>25</v>
      </c>
      <c r="D45" s="13" t="s">
        <v>161</v>
      </c>
      <c r="E45" s="14" t="s">
        <v>164</v>
      </c>
    </row>
    <row r="46" customFormat="false" ht="15" hidden="false" customHeight="true" outlineLevel="0" collapsed="false">
      <c r="A46" s="10" t="n">
        <v>36</v>
      </c>
      <c r="B46" s="11" t="s">
        <v>165</v>
      </c>
      <c r="C46" s="12" t="n">
        <v>120</v>
      </c>
      <c r="D46" s="13" t="s">
        <v>161</v>
      </c>
      <c r="E46" s="14" t="s">
        <v>166</v>
      </c>
    </row>
    <row r="47" customFormat="false" ht="15" hidden="false" customHeight="true" outlineLevel="0" collapsed="false">
      <c r="A47" s="10" t="n">
        <v>37</v>
      </c>
      <c r="B47" s="11" t="s">
        <v>167</v>
      </c>
      <c r="C47" s="12" t="n">
        <v>1</v>
      </c>
      <c r="D47" s="13" t="s">
        <v>168</v>
      </c>
      <c r="E47" s="14" t="s">
        <v>169</v>
      </c>
    </row>
    <row r="48" customFormat="false" ht="15" hidden="false" customHeight="true" outlineLevel="0" collapsed="false">
      <c r="A48" s="10" t="n">
        <v>38</v>
      </c>
      <c r="B48" s="11" t="s">
        <v>170</v>
      </c>
      <c r="C48" s="12" t="n">
        <v>3</v>
      </c>
      <c r="D48" s="13" t="s">
        <v>168</v>
      </c>
      <c r="E48" s="14"/>
    </row>
    <row r="49" customFormat="false" ht="15" hidden="false" customHeight="true" outlineLevel="0" collapsed="false">
      <c r="A49" s="10" t="n">
        <v>39</v>
      </c>
      <c r="B49" s="11" t="s">
        <v>171</v>
      </c>
      <c r="C49" s="12" t="n">
        <v>10</v>
      </c>
      <c r="D49" s="13" t="s">
        <v>168</v>
      </c>
      <c r="E49" s="14"/>
    </row>
    <row r="50" customFormat="false" ht="21.75" hidden="false" customHeight="true" outlineLevel="0" collapsed="false">
      <c r="A50" s="9" t="s">
        <v>172</v>
      </c>
      <c r="B50" s="9"/>
      <c r="C50" s="9"/>
      <c r="D50" s="9"/>
      <c r="E50" s="9"/>
    </row>
    <row r="51" customFormat="false" ht="15" hidden="false" customHeight="true" outlineLevel="0" collapsed="false">
      <c r="A51" s="10" t="n">
        <v>40</v>
      </c>
      <c r="B51" s="11" t="s">
        <v>173</v>
      </c>
      <c r="C51" s="12" t="n">
        <v>8</v>
      </c>
      <c r="D51" s="13" t="s">
        <v>174</v>
      </c>
      <c r="E51" s="14" t="s">
        <v>175</v>
      </c>
    </row>
    <row r="52" customFormat="false" ht="15" hidden="false" customHeight="true" outlineLevel="0" collapsed="false">
      <c r="A52" s="10" t="n">
        <v>41</v>
      </c>
      <c r="B52" s="11" t="s">
        <v>176</v>
      </c>
      <c r="C52" s="16" t="n">
        <v>1.5</v>
      </c>
      <c r="D52" s="13" t="s">
        <v>174</v>
      </c>
      <c r="E52" s="14" t="s">
        <v>177</v>
      </c>
    </row>
    <row r="53" customFormat="false" ht="15" hidden="false" customHeight="true" outlineLevel="0" collapsed="false">
      <c r="A53" s="10" t="n">
        <v>42</v>
      </c>
      <c r="B53" s="11" t="s">
        <v>178</v>
      </c>
      <c r="C53" s="12" t="n">
        <v>6</v>
      </c>
      <c r="D53" s="13" t="s">
        <v>89</v>
      </c>
      <c r="E53" s="14" t="s">
        <v>179</v>
      </c>
    </row>
    <row r="54" customFormat="false" ht="15" hidden="false" customHeight="true" outlineLevel="0" collapsed="false">
      <c r="A54" s="10" t="n">
        <v>43</v>
      </c>
      <c r="B54" s="11" t="s">
        <v>180</v>
      </c>
      <c r="C54" s="20" t="n">
        <v>5</v>
      </c>
      <c r="D54" s="13" t="s">
        <v>181</v>
      </c>
      <c r="E54" s="14" t="s">
        <v>182</v>
      </c>
    </row>
    <row r="56" customFormat="false" ht="21.75" hidden="false" customHeight="true" outlineLevel="0" collapsed="false">
      <c r="A56" s="9" t="s">
        <v>183</v>
      </c>
      <c r="B56" s="9"/>
      <c r="C56" s="9"/>
      <c r="D56" s="9"/>
      <c r="E56" s="9"/>
    </row>
    <row r="57" customFormat="false" ht="21.75" hidden="false" customHeight="true" outlineLevel="0" collapsed="false">
      <c r="A57" s="10" t="n">
        <v>44</v>
      </c>
      <c r="B57" s="11" t="s">
        <v>184</v>
      </c>
      <c r="C57" s="15" t="n">
        <v>0.005</v>
      </c>
      <c r="D57" s="13" t="s">
        <v>185</v>
      </c>
      <c r="E57" s="14" t="s">
        <v>186</v>
      </c>
    </row>
    <row r="58" customFormat="false" ht="21.75" hidden="false" customHeight="true" outlineLevel="0" collapsed="false">
      <c r="A58" s="10" t="n">
        <v>45</v>
      </c>
      <c r="B58" s="11" t="s">
        <v>187</v>
      </c>
      <c r="C58" s="19" t="n">
        <v>50</v>
      </c>
      <c r="D58" s="13" t="s">
        <v>161</v>
      </c>
      <c r="E58" s="14" t="s">
        <v>188</v>
      </c>
    </row>
    <row r="60" customFormat="false" ht="21.75" hidden="false" customHeight="true" outlineLevel="0" collapsed="false">
      <c r="A60" s="9" t="s">
        <v>189</v>
      </c>
      <c r="B60" s="9"/>
      <c r="C60" s="9"/>
      <c r="D60" s="9"/>
      <c r="E60" s="9"/>
    </row>
    <row r="61" customFormat="false" ht="21.75" hidden="false" customHeight="true" outlineLevel="0" collapsed="false">
      <c r="A61" s="10" t="n">
        <v>46</v>
      </c>
      <c r="B61" s="11" t="s">
        <v>190</v>
      </c>
      <c r="C61" s="12" t="n">
        <v>6</v>
      </c>
      <c r="D61" s="13" t="s">
        <v>191</v>
      </c>
      <c r="E61" s="14" t="s">
        <v>192</v>
      </c>
    </row>
    <row r="62" customFormat="false" ht="21.75" hidden="false" customHeight="true" outlineLevel="0" collapsed="false">
      <c r="A62" s="10" t="n">
        <v>47</v>
      </c>
      <c r="B62" s="11" t="s">
        <v>193</v>
      </c>
      <c r="C62" s="12" t="n">
        <v>30</v>
      </c>
      <c r="D62" s="13" t="s">
        <v>191</v>
      </c>
      <c r="E62" s="14" t="s">
        <v>194</v>
      </c>
    </row>
    <row r="63" customFormat="false" ht="21.75" hidden="false" customHeight="true" outlineLevel="0" collapsed="false">
      <c r="A63" s="10" t="n">
        <v>48</v>
      </c>
      <c r="B63" s="11" t="s">
        <v>195</v>
      </c>
      <c r="C63" s="12" t="n">
        <v>15</v>
      </c>
      <c r="D63" s="13" t="s">
        <v>191</v>
      </c>
      <c r="E63" s="14" t="s">
        <v>196</v>
      </c>
    </row>
    <row r="65" customFormat="false" ht="21.75" hidden="false" customHeight="true" outlineLevel="0" collapsed="false">
      <c r="A65" s="9" t="s">
        <v>197</v>
      </c>
      <c r="B65" s="9"/>
      <c r="C65" s="9"/>
      <c r="D65" s="9"/>
      <c r="E65" s="9"/>
    </row>
    <row r="66" customFormat="false" ht="21.75" hidden="false" customHeight="true" outlineLevel="0" collapsed="false">
      <c r="A66" s="10" t="n">
        <v>49</v>
      </c>
      <c r="B66" s="11" t="s">
        <v>198</v>
      </c>
      <c r="C66" s="12" t="n">
        <v>10</v>
      </c>
      <c r="D66" s="13" t="s">
        <v>168</v>
      </c>
      <c r="E66" s="14" t="s">
        <v>199</v>
      </c>
    </row>
    <row r="67" customFormat="false" ht="21.75" hidden="false" customHeight="true" outlineLevel="0" collapsed="false">
      <c r="A67" s="10" t="n">
        <v>50</v>
      </c>
      <c r="B67" s="11" t="s">
        <v>200</v>
      </c>
      <c r="C67" s="20" t="n">
        <v>1.8</v>
      </c>
      <c r="D67" s="13" t="s">
        <v>99</v>
      </c>
      <c r="E67" s="14" t="s">
        <v>201</v>
      </c>
    </row>
    <row r="68" customFormat="false" ht="15" hidden="false" customHeight="true" outlineLevel="0" collapsed="false">
      <c r="A68" s="10" t="n">
        <v>51</v>
      </c>
      <c r="B68" s="11" t="s">
        <v>202</v>
      </c>
      <c r="C68" s="16" t="n">
        <v>1</v>
      </c>
      <c r="D68" s="13" t="s">
        <v>129</v>
      </c>
      <c r="E68" s="14" t="s">
        <v>203</v>
      </c>
    </row>
    <row r="69" customFormat="false" ht="15" hidden="false" customHeight="true" outlineLevel="0" collapsed="false">
      <c r="A69" s="10" t="n">
        <v>52</v>
      </c>
      <c r="B69" s="11" t="s">
        <v>204</v>
      </c>
      <c r="C69" s="16" t="n">
        <v>2.5</v>
      </c>
      <c r="D69" s="13" t="s">
        <v>129</v>
      </c>
      <c r="E69" s="14" t="s">
        <v>205</v>
      </c>
    </row>
    <row r="70" customFormat="false" ht="15" hidden="false" customHeight="true" outlineLevel="0" collapsed="false">
      <c r="A70" s="10" t="n">
        <v>53</v>
      </c>
      <c r="B70" s="11" t="s">
        <v>206</v>
      </c>
      <c r="C70" s="20" t="n">
        <v>6</v>
      </c>
      <c r="D70" s="13" t="s">
        <v>129</v>
      </c>
      <c r="E70" s="14" t="s">
        <v>207</v>
      </c>
    </row>
    <row r="71" customFormat="false" ht="15" hidden="false" customHeight="true" outlineLevel="0" collapsed="false">
      <c r="A71" s="10" t="n">
        <v>54</v>
      </c>
      <c r="B71" s="11" t="s">
        <v>208</v>
      </c>
      <c r="C71" s="20" t="n">
        <v>15</v>
      </c>
      <c r="D71" s="13" t="s">
        <v>129</v>
      </c>
      <c r="E71" s="14" t="s">
        <v>209</v>
      </c>
    </row>
    <row r="72" customFormat="false" ht="21.75" hidden="false" customHeight="true" outlineLevel="0" collapsed="false">
      <c r="A72" s="10" t="n">
        <v>55</v>
      </c>
      <c r="B72" s="11" t="s">
        <v>210</v>
      </c>
      <c r="C72" s="12" t="n">
        <v>4</v>
      </c>
      <c r="D72" s="13" t="s">
        <v>211</v>
      </c>
      <c r="E72" s="14" t="s">
        <v>212</v>
      </c>
    </row>
    <row r="74" customFormat="false" ht="21.75" hidden="false" customHeight="true" outlineLevel="0" collapsed="false">
      <c r="A74" s="9" t="s">
        <v>213</v>
      </c>
      <c r="B74" s="9"/>
      <c r="C74" s="9"/>
      <c r="D74" s="9"/>
      <c r="E74" s="9"/>
    </row>
    <row r="75" customFormat="false" ht="15" hidden="false" customHeight="true" outlineLevel="0" collapsed="false">
      <c r="A75" s="10" t="n">
        <v>56</v>
      </c>
      <c r="B75" s="11" t="s">
        <v>214</v>
      </c>
      <c r="C75" s="21" t="n">
        <v>0.99</v>
      </c>
      <c r="D75" s="13" t="s">
        <v>215</v>
      </c>
      <c r="E75" s="14" t="s">
        <v>216</v>
      </c>
    </row>
    <row r="76" customFormat="false" ht="15" hidden="false" customHeight="true" outlineLevel="0" collapsed="false">
      <c r="A76" s="10" t="n">
        <v>57</v>
      </c>
      <c r="B76" s="11" t="s">
        <v>217</v>
      </c>
      <c r="C76" s="12" t="n">
        <v>500</v>
      </c>
      <c r="D76" s="13" t="s">
        <v>161</v>
      </c>
      <c r="E76" s="14" t="s">
        <v>218</v>
      </c>
    </row>
    <row r="77" customFormat="false" ht="15" hidden="false" customHeight="true" outlineLevel="0" collapsed="false">
      <c r="A77" s="10" t="n">
        <v>58</v>
      </c>
      <c r="B77" s="11" t="s">
        <v>219</v>
      </c>
      <c r="C77" s="21" t="n">
        <v>4.99</v>
      </c>
      <c r="D77" s="13" t="s">
        <v>215</v>
      </c>
      <c r="E77" s="14" t="s">
        <v>220</v>
      </c>
    </row>
    <row r="78" customFormat="false" ht="15" hidden="false" customHeight="true" outlineLevel="0" collapsed="false">
      <c r="A78" s="10" t="n">
        <v>59</v>
      </c>
      <c r="B78" s="11" t="s">
        <v>221</v>
      </c>
      <c r="C78" s="19" t="n">
        <v>3000</v>
      </c>
      <c r="D78" s="13" t="s">
        <v>161</v>
      </c>
      <c r="E78" s="14" t="s">
        <v>222</v>
      </c>
    </row>
    <row r="79" customFormat="false" ht="15" hidden="false" customHeight="true" outlineLevel="0" collapsed="false">
      <c r="A79" s="10" t="n">
        <v>60</v>
      </c>
      <c r="B79" s="11" t="s">
        <v>223</v>
      </c>
      <c r="C79" s="21" t="n">
        <v>19.99</v>
      </c>
      <c r="D79" s="13" t="s">
        <v>215</v>
      </c>
      <c r="E79" s="14" t="s">
        <v>224</v>
      </c>
    </row>
    <row r="80" customFormat="false" ht="15" hidden="false" customHeight="true" outlineLevel="0" collapsed="false">
      <c r="A80" s="10" t="n">
        <v>61</v>
      </c>
      <c r="B80" s="11" t="s">
        <v>225</v>
      </c>
      <c r="C80" s="19" t="n">
        <v>15000</v>
      </c>
      <c r="D80" s="13" t="s">
        <v>161</v>
      </c>
      <c r="E80" s="14" t="s">
        <v>226</v>
      </c>
    </row>
    <row r="81" customFormat="false" ht="15" hidden="false" customHeight="true" outlineLevel="0" collapsed="false">
      <c r="A81" s="10" t="n">
        <v>62</v>
      </c>
      <c r="B81" s="11" t="s">
        <v>227</v>
      </c>
      <c r="C81" s="21" t="n">
        <v>2.99</v>
      </c>
      <c r="D81" s="13" t="s">
        <v>215</v>
      </c>
      <c r="E81" s="14" t="s">
        <v>228</v>
      </c>
    </row>
    <row r="82" customFormat="false" ht="15" hidden="false" customHeight="true" outlineLevel="0" collapsed="false">
      <c r="A82" s="10" t="n">
        <v>63</v>
      </c>
      <c r="B82" s="11" t="s">
        <v>229</v>
      </c>
      <c r="C82" s="19" t="n">
        <v>6</v>
      </c>
      <c r="D82" s="13" t="s">
        <v>230</v>
      </c>
      <c r="E82" s="14" t="s">
        <v>231</v>
      </c>
    </row>
    <row r="83" customFormat="false" ht="15" hidden="false" customHeight="true" outlineLevel="0" collapsed="false">
      <c r="A83" s="10" t="n">
        <v>64</v>
      </c>
      <c r="B83" s="11" t="s">
        <v>232</v>
      </c>
      <c r="C83" s="21" t="n">
        <v>14.99</v>
      </c>
      <c r="D83" s="13" t="s">
        <v>215</v>
      </c>
      <c r="E83" s="14" t="s">
        <v>233</v>
      </c>
    </row>
    <row r="84" customFormat="false" ht="15" hidden="false" customHeight="true" outlineLevel="0" collapsed="false">
      <c r="A84" s="10" t="n">
        <v>65</v>
      </c>
      <c r="B84" s="11" t="s">
        <v>234</v>
      </c>
      <c r="C84" s="19" t="n">
        <v>40</v>
      </c>
      <c r="D84" s="13" t="s">
        <v>230</v>
      </c>
      <c r="E84" s="14" t="s">
        <v>235</v>
      </c>
    </row>
    <row r="85" customFormat="false" ht="15" hidden="false" customHeight="true" outlineLevel="0" collapsed="false">
      <c r="A85" s="10" t="n">
        <v>66</v>
      </c>
      <c r="B85" s="11" t="s">
        <v>236</v>
      </c>
      <c r="C85" s="21" t="n">
        <v>9.99</v>
      </c>
      <c r="D85" s="13" t="s">
        <v>215</v>
      </c>
      <c r="E85" s="14" t="s">
        <v>237</v>
      </c>
    </row>
    <row r="86" customFormat="false" ht="15" hidden="false" customHeight="true" outlineLevel="0" collapsed="false">
      <c r="A86" s="10" t="n">
        <v>67</v>
      </c>
      <c r="B86" s="11" t="s">
        <v>238</v>
      </c>
      <c r="C86" s="19" t="n">
        <v>8000</v>
      </c>
      <c r="D86" s="13" t="s">
        <v>161</v>
      </c>
      <c r="E86" s="14" t="s">
        <v>239</v>
      </c>
    </row>
    <row r="87" customFormat="false" ht="15" hidden="false" customHeight="true" outlineLevel="0" collapsed="false">
      <c r="A87" s="10" t="n">
        <v>68</v>
      </c>
      <c r="B87" s="11" t="s">
        <v>240</v>
      </c>
      <c r="C87" s="19" t="n">
        <v>20</v>
      </c>
      <c r="D87" s="13" t="s">
        <v>230</v>
      </c>
      <c r="E87" s="14" t="s">
        <v>241</v>
      </c>
    </row>
    <row r="88" customFormat="false" ht="21.75" hidden="false" customHeight="true" outlineLevel="0" collapsed="false">
      <c r="A88" s="10" t="n">
        <v>69</v>
      </c>
      <c r="B88" s="11" t="s">
        <v>242</v>
      </c>
      <c r="C88" s="22" t="n">
        <v>12</v>
      </c>
      <c r="D88" s="13" t="s">
        <v>215</v>
      </c>
      <c r="E88" s="14" t="s">
        <v>243</v>
      </c>
    </row>
    <row r="89" customFormat="false" ht="21.75" hidden="false" customHeight="true" outlineLevel="0" collapsed="false">
      <c r="A89" s="10" t="n">
        <v>70</v>
      </c>
      <c r="B89" s="11" t="s">
        <v>244</v>
      </c>
      <c r="C89" s="15" t="n">
        <v>0.04</v>
      </c>
      <c r="D89" s="13" t="s">
        <v>141</v>
      </c>
      <c r="E89" s="14" t="s">
        <v>245</v>
      </c>
    </row>
    <row r="91" customFormat="false" ht="21.75" hidden="false" customHeight="true" outlineLevel="0" collapsed="false">
      <c r="A91" s="9" t="s">
        <v>246</v>
      </c>
      <c r="B91" s="9"/>
      <c r="C91" s="9"/>
      <c r="D91" s="9"/>
      <c r="E91" s="9"/>
    </row>
    <row r="92" customFormat="false" ht="15" hidden="false" customHeight="true" outlineLevel="0" collapsed="false">
      <c r="A92" s="10" t="n">
        <v>71</v>
      </c>
      <c r="B92" s="11" t="s">
        <v>247</v>
      </c>
      <c r="C92" s="19" t="n">
        <v>2000</v>
      </c>
      <c r="D92" s="13" t="s">
        <v>248</v>
      </c>
      <c r="E92" s="14" t="s">
        <v>249</v>
      </c>
    </row>
    <row r="93" customFormat="false" ht="15" hidden="false" customHeight="true" outlineLevel="0" collapsed="false">
      <c r="A93" s="10" t="n">
        <v>72</v>
      </c>
      <c r="B93" s="11" t="s">
        <v>250</v>
      </c>
      <c r="C93" s="17" t="n">
        <v>0.05</v>
      </c>
      <c r="D93" s="13" t="s">
        <v>251</v>
      </c>
      <c r="E93" s="14" t="s">
        <v>252</v>
      </c>
    </row>
    <row r="94" customFormat="false" ht="15" hidden="false" customHeight="true" outlineLevel="0" collapsed="false">
      <c r="A94" s="10" t="n">
        <v>73</v>
      </c>
      <c r="B94" s="11" t="s">
        <v>253</v>
      </c>
      <c r="C94" s="17" t="n">
        <v>0.02</v>
      </c>
      <c r="D94" s="13" t="s">
        <v>141</v>
      </c>
      <c r="E94" s="14" t="s">
        <v>254</v>
      </c>
    </row>
    <row r="95" customFormat="false" ht="15" hidden="false" customHeight="true" outlineLevel="0" collapsed="false">
      <c r="A95" s="10" t="n">
        <v>74</v>
      </c>
      <c r="B95" s="11" t="s">
        <v>255</v>
      </c>
      <c r="C95" s="21" t="n">
        <v>8</v>
      </c>
      <c r="D95" s="13" t="s">
        <v>215</v>
      </c>
      <c r="E95" s="14" t="s">
        <v>256</v>
      </c>
    </row>
    <row r="96" customFormat="false" ht="15" hidden="false" customHeight="true" outlineLevel="0" collapsed="false">
      <c r="A96" s="10" t="n">
        <v>75</v>
      </c>
      <c r="B96" s="11" t="s">
        <v>257</v>
      </c>
      <c r="C96" s="19" t="n">
        <v>5000</v>
      </c>
      <c r="D96" s="13" t="s">
        <v>248</v>
      </c>
      <c r="E96" s="14" t="s">
        <v>258</v>
      </c>
    </row>
    <row r="97" customFormat="false" ht="15" hidden="false" customHeight="true" outlineLevel="0" collapsed="false">
      <c r="A97" s="10" t="n">
        <v>76</v>
      </c>
      <c r="B97" s="11" t="s">
        <v>259</v>
      </c>
      <c r="C97" s="17" t="n">
        <v>0.1</v>
      </c>
      <c r="D97" s="13" t="s">
        <v>251</v>
      </c>
      <c r="E97" s="14" t="s">
        <v>260</v>
      </c>
    </row>
    <row r="98" customFormat="false" ht="15" hidden="false" customHeight="true" outlineLevel="0" collapsed="false">
      <c r="A98" s="10" t="n">
        <v>77</v>
      </c>
      <c r="B98" s="11" t="s">
        <v>261</v>
      </c>
      <c r="C98" s="17" t="n">
        <v>0.04</v>
      </c>
      <c r="D98" s="13" t="s">
        <v>141</v>
      </c>
      <c r="E98" s="14" t="s">
        <v>262</v>
      </c>
    </row>
    <row r="99" customFormat="false" ht="15" hidden="false" customHeight="true" outlineLevel="0" collapsed="false">
      <c r="A99" s="10" t="n">
        <v>78</v>
      </c>
      <c r="B99" s="11" t="s">
        <v>263</v>
      </c>
      <c r="C99" s="21" t="n">
        <v>12</v>
      </c>
      <c r="D99" s="13" t="s">
        <v>215</v>
      </c>
      <c r="E99" s="14" t="s">
        <v>264</v>
      </c>
    </row>
    <row r="100" customFormat="false" ht="15" hidden="false" customHeight="true" outlineLevel="0" collapsed="false">
      <c r="A100" s="10" t="n">
        <v>79</v>
      </c>
      <c r="B100" s="11" t="s">
        <v>265</v>
      </c>
      <c r="C100" s="19" t="n">
        <v>10000</v>
      </c>
      <c r="D100" s="13" t="s">
        <v>248</v>
      </c>
      <c r="E100" s="14" t="s">
        <v>266</v>
      </c>
    </row>
    <row r="101" customFormat="false" ht="15" hidden="false" customHeight="true" outlineLevel="0" collapsed="false">
      <c r="A101" s="10" t="n">
        <v>80</v>
      </c>
      <c r="B101" s="11" t="s">
        <v>267</v>
      </c>
      <c r="C101" s="15" t="n">
        <v>0.18</v>
      </c>
      <c r="D101" s="13" t="s">
        <v>251</v>
      </c>
      <c r="E101" s="14" t="s">
        <v>268</v>
      </c>
    </row>
    <row r="102" customFormat="false" ht="15" hidden="false" customHeight="true" outlineLevel="0" collapsed="false">
      <c r="A102" s="10" t="n">
        <v>81</v>
      </c>
      <c r="B102" s="11" t="s">
        <v>269</v>
      </c>
      <c r="C102" s="15" t="n">
        <v>0.06</v>
      </c>
      <c r="D102" s="13" t="s">
        <v>141</v>
      </c>
      <c r="E102" s="14" t="s">
        <v>270</v>
      </c>
    </row>
    <row r="103" customFormat="false" ht="15" hidden="false" customHeight="true" outlineLevel="0" collapsed="false">
      <c r="A103" s="10" t="n">
        <v>82</v>
      </c>
      <c r="B103" s="11" t="s">
        <v>271</v>
      </c>
      <c r="C103" s="22" t="n">
        <v>18</v>
      </c>
      <c r="D103" s="13" t="s">
        <v>215</v>
      </c>
      <c r="E103" s="14" t="s">
        <v>272</v>
      </c>
    </row>
    <row r="104" customFormat="false" ht="15" hidden="false" customHeight="true" outlineLevel="0" collapsed="false">
      <c r="A104" s="10" t="n">
        <v>83</v>
      </c>
      <c r="B104" s="11" t="s">
        <v>273</v>
      </c>
      <c r="C104" s="18" t="n">
        <v>0.3</v>
      </c>
      <c r="D104" s="13" t="s">
        <v>141</v>
      </c>
      <c r="E104" s="14" t="s">
        <v>274</v>
      </c>
    </row>
    <row r="106" customFormat="false" ht="21.75" hidden="false" customHeight="true" outlineLevel="0" collapsed="false">
      <c r="A106" s="9" t="s">
        <v>275</v>
      </c>
      <c r="B106" s="9"/>
      <c r="C106" s="9"/>
      <c r="D106" s="9"/>
      <c r="E106" s="9"/>
    </row>
    <row r="107" customFormat="false" ht="21.75" hidden="false" customHeight="true" outlineLevel="0" collapsed="false">
      <c r="A107" s="10" t="n">
        <v>84</v>
      </c>
      <c r="B107" s="11" t="s">
        <v>276</v>
      </c>
      <c r="C107" s="22" t="n">
        <v>0.0012</v>
      </c>
      <c r="D107" s="13" t="s">
        <v>215</v>
      </c>
      <c r="E107" s="14" t="s">
        <v>277</v>
      </c>
    </row>
    <row r="108" customFormat="false" ht="15" hidden="false" customHeight="true" outlineLevel="0" collapsed="false">
      <c r="A108" s="10" t="n">
        <v>85</v>
      </c>
      <c r="B108" s="11" t="s">
        <v>278</v>
      </c>
      <c r="C108" s="23" t="n">
        <v>18000</v>
      </c>
      <c r="D108" s="13" t="s">
        <v>215</v>
      </c>
      <c r="E108" s="14" t="s">
        <v>279</v>
      </c>
    </row>
    <row r="109" customFormat="false" ht="15" hidden="false" customHeight="true" outlineLevel="0" collapsed="false">
      <c r="A109" s="10" t="n">
        <v>86</v>
      </c>
      <c r="B109" s="11" t="s">
        <v>280</v>
      </c>
      <c r="C109" s="24" t="n">
        <v>2000</v>
      </c>
      <c r="D109" s="13" t="s">
        <v>215</v>
      </c>
      <c r="E109" s="14" t="s">
        <v>281</v>
      </c>
    </row>
    <row r="110" customFormat="false" ht="15" hidden="false" customHeight="true" outlineLevel="0" collapsed="false">
      <c r="A110" s="10" t="n">
        <v>87</v>
      </c>
      <c r="B110" s="11" t="s">
        <v>282</v>
      </c>
      <c r="C110" s="24" t="n">
        <v>8000</v>
      </c>
      <c r="D110" s="13" t="s">
        <v>215</v>
      </c>
      <c r="E110" s="14" t="s">
        <v>283</v>
      </c>
    </row>
    <row r="111" customFormat="false" ht="15" hidden="false" customHeight="true" outlineLevel="0" collapsed="false">
      <c r="A111" s="10" t="n">
        <v>88</v>
      </c>
      <c r="B111" s="11" t="s">
        <v>284</v>
      </c>
      <c r="C111" s="23" t="n">
        <v>25000</v>
      </c>
      <c r="D111" s="13" t="s">
        <v>215</v>
      </c>
      <c r="E111" s="14" t="s">
        <v>285</v>
      </c>
    </row>
  </sheetData>
  <mergeCells count="15">
    <mergeCell ref="A1:E1"/>
    <mergeCell ref="A2:E2"/>
    <mergeCell ref="A5:E5"/>
    <mergeCell ref="A11:E11"/>
    <mergeCell ref="A18:E18"/>
    <mergeCell ref="A24:E24"/>
    <mergeCell ref="A33:E33"/>
    <mergeCell ref="A43:E43"/>
    <mergeCell ref="A50:E50"/>
    <mergeCell ref="A56:E56"/>
    <mergeCell ref="A60:E60"/>
    <mergeCell ref="A65:E65"/>
    <mergeCell ref="A74:E74"/>
    <mergeCell ref="A91:E91"/>
    <mergeCell ref="A106:E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4"/>
    <col collapsed="false" customWidth="true" hidden="false" outlineLevel="0" max="4" min="4" style="1" width="10"/>
    <col collapsed="false" customWidth="true" hidden="false" outlineLevel="0" max="6" min="5" style="1" width="14"/>
    <col collapsed="false" customWidth="true" hidden="false" outlineLevel="0" max="7" min="7" style="1" width="36"/>
  </cols>
  <sheetData>
    <row r="1" customFormat="false" ht="19.5" hidden="false" customHeight="true" outlineLevel="0" collapsed="false">
      <c r="A1" s="2" t="s">
        <v>286</v>
      </c>
      <c r="B1" s="2"/>
      <c r="C1" s="2"/>
      <c r="D1" s="2"/>
      <c r="E1" s="2"/>
      <c r="F1" s="2"/>
      <c r="G1" s="2"/>
    </row>
    <row r="2" customFormat="false" ht="15" hidden="false" customHeight="true" outlineLevel="0" collapsed="false">
      <c r="A2" s="3" t="s">
        <v>287</v>
      </c>
      <c r="B2" s="3"/>
      <c r="C2" s="3"/>
      <c r="D2" s="3"/>
      <c r="E2" s="3"/>
      <c r="F2" s="3"/>
      <c r="G2" s="3"/>
    </row>
    <row r="4" customFormat="false" ht="21.75" hidden="false" customHeight="true" outlineLevel="0" collapsed="false">
      <c r="A4" s="9" t="s">
        <v>288</v>
      </c>
      <c r="B4" s="9"/>
      <c r="C4" s="9"/>
      <c r="D4" s="9"/>
      <c r="E4" s="9"/>
      <c r="F4" s="9"/>
      <c r="G4" s="9"/>
    </row>
    <row r="5" customFormat="false" ht="15" hidden="false" customHeight="true" outlineLevel="0" collapsed="false">
      <c r="A5" s="8" t="s">
        <v>289</v>
      </c>
      <c r="B5" s="8" t="s">
        <v>75</v>
      </c>
    </row>
    <row r="6" customFormat="false" ht="15" hidden="false" customHeight="true" outlineLevel="0" collapsed="false">
      <c r="A6" s="25" t="s">
        <v>95</v>
      </c>
      <c r="B6" s="26" t="n">
        <f aca="false">Assumptions!$C$12</f>
        <v>100</v>
      </c>
    </row>
    <row r="7" customFormat="false" ht="15" hidden="false" customHeight="true" outlineLevel="0" collapsed="false">
      <c r="A7" s="25" t="s">
        <v>98</v>
      </c>
      <c r="B7" s="27" t="n">
        <f aca="false">Assumptions!$C$13</f>
        <v>0.08</v>
      </c>
    </row>
    <row r="8" customFormat="false" ht="15" hidden="false" customHeight="true" outlineLevel="0" collapsed="false">
      <c r="A8" s="25" t="s">
        <v>101</v>
      </c>
      <c r="B8" s="26" t="n">
        <f aca="false">Assumptions!$C$14</f>
        <v>3</v>
      </c>
    </row>
    <row r="9" customFormat="false" ht="15" hidden="false" customHeight="true" outlineLevel="0" collapsed="false">
      <c r="A9" s="25" t="s">
        <v>104</v>
      </c>
      <c r="B9" s="26" t="n">
        <f aca="false">Assumptions!$C$15</f>
        <v>10</v>
      </c>
    </row>
    <row r="10" customFormat="false" ht="15" hidden="false" customHeight="true" outlineLevel="0" collapsed="false">
      <c r="A10" s="25" t="s">
        <v>106</v>
      </c>
      <c r="B10" s="26" t="n">
        <f aca="false">Assumptions!$C$16</f>
        <v>12</v>
      </c>
    </row>
    <row r="11" customFormat="false" ht="15" hidden="false" customHeight="true" outlineLevel="0" collapsed="false">
      <c r="A11" s="25" t="s">
        <v>109</v>
      </c>
      <c r="B11" s="27" t="n">
        <f aca="false">Assumptions!$C$17</f>
        <v>0.1</v>
      </c>
    </row>
    <row r="12" customFormat="false" ht="15" hidden="false" customHeight="true" outlineLevel="0" collapsed="false">
      <c r="A12" s="25" t="s">
        <v>79</v>
      </c>
      <c r="B12" s="26" t="n">
        <f aca="false">Assumptions!$C$6</f>
        <v>30</v>
      </c>
    </row>
    <row r="14" customFormat="false" ht="21.75" hidden="false" customHeight="true" outlineLevel="0" collapsed="false">
      <c r="A14" s="9" t="s">
        <v>290</v>
      </c>
      <c r="B14" s="9"/>
      <c r="C14" s="9"/>
      <c r="D14" s="9"/>
      <c r="E14" s="9"/>
      <c r="F14" s="9"/>
      <c r="G14" s="9"/>
    </row>
    <row r="15" customFormat="false" ht="27.75" hidden="false" customHeight="true" outlineLevel="0" collapsed="false">
      <c r="A15" s="8" t="s">
        <v>291</v>
      </c>
      <c r="B15" s="8" t="s">
        <v>292</v>
      </c>
      <c r="C15" s="8" t="s">
        <v>293</v>
      </c>
      <c r="D15" s="8" t="s">
        <v>294</v>
      </c>
      <c r="E15" s="8" t="s">
        <v>295</v>
      </c>
      <c r="F15" s="8" t="s">
        <v>296</v>
      </c>
      <c r="G15" s="8" t="s">
        <v>297</v>
      </c>
    </row>
    <row r="16" customFormat="false" ht="15" hidden="false" customHeight="true" outlineLevel="0" collapsed="false">
      <c r="A16" s="28" t="n">
        <v>1</v>
      </c>
      <c r="B16" s="29" t="n">
        <f aca="false">$B$6*(1+$B$7)^(A16-1)</f>
        <v>100</v>
      </c>
      <c r="C16" s="29" t="n">
        <f aca="false">$B$10*(1+$B$11)^(A16-1)</f>
        <v>12</v>
      </c>
      <c r="D16" s="29" t="n">
        <f aca="false">$B$8+INT((A16-1)/$B$9)</f>
        <v>3</v>
      </c>
      <c r="E16" s="30" t="n">
        <f aca="false">B16/$B$16</f>
        <v>1</v>
      </c>
      <c r="F16" s="30" t="n">
        <f aca="false">C16/$C$16</f>
        <v>1</v>
      </c>
      <c r="G16" s="31"/>
    </row>
    <row r="17" customFormat="false" ht="15" hidden="false" customHeight="true" outlineLevel="0" collapsed="false">
      <c r="A17" s="32" t="n">
        <v>2</v>
      </c>
      <c r="B17" s="33" t="n">
        <f aca="false">$B$6*(1+$B$7)^(A17-1)</f>
        <v>108</v>
      </c>
      <c r="C17" s="33" t="n">
        <f aca="false">$B$10*(1+$B$11)^(A17-1)</f>
        <v>13.2</v>
      </c>
      <c r="D17" s="33" t="n">
        <f aca="false">$B$8+INT((A17-1)/$B$9)</f>
        <v>3</v>
      </c>
      <c r="E17" s="34" t="n">
        <f aca="false">B17/$B$16</f>
        <v>1.08</v>
      </c>
      <c r="F17" s="34" t="n">
        <f aca="false">C17/$C$16</f>
        <v>1.1</v>
      </c>
      <c r="G17" s="35"/>
    </row>
    <row r="18" customFormat="false" ht="15" hidden="false" customHeight="true" outlineLevel="0" collapsed="false">
      <c r="A18" s="28" t="n">
        <v>3</v>
      </c>
      <c r="B18" s="29" t="n">
        <f aca="false">$B$6*(1+$B$7)^(A18-1)</f>
        <v>116.64</v>
      </c>
      <c r="C18" s="29" t="n">
        <f aca="false">$B$10*(1+$B$11)^(A18-1)</f>
        <v>14.52</v>
      </c>
      <c r="D18" s="29" t="n">
        <f aca="false">$B$8+INT((A18-1)/$B$9)</f>
        <v>3</v>
      </c>
      <c r="E18" s="30" t="n">
        <f aca="false">B18/$B$16</f>
        <v>1.1664</v>
      </c>
      <c r="F18" s="30" t="n">
        <f aca="false">C18/$C$16</f>
        <v>1.21</v>
      </c>
      <c r="G18" s="31"/>
    </row>
    <row r="19" customFormat="false" ht="15" hidden="false" customHeight="true" outlineLevel="0" collapsed="false">
      <c r="A19" s="32" t="n">
        <v>4</v>
      </c>
      <c r="B19" s="33" t="n">
        <f aca="false">$B$6*(1+$B$7)^(A19-1)</f>
        <v>125.9712</v>
      </c>
      <c r="C19" s="33" t="n">
        <f aca="false">$B$10*(1+$B$11)^(A19-1)</f>
        <v>15.972</v>
      </c>
      <c r="D19" s="33" t="n">
        <f aca="false">$B$8+INT((A19-1)/$B$9)</f>
        <v>3</v>
      </c>
      <c r="E19" s="34" t="n">
        <f aca="false">B19/$B$16</f>
        <v>1.259712</v>
      </c>
      <c r="F19" s="34" t="n">
        <f aca="false">C19/$C$16</f>
        <v>1.331</v>
      </c>
      <c r="G19" s="35"/>
    </row>
    <row r="20" customFormat="false" ht="15" hidden="false" customHeight="true" outlineLevel="0" collapsed="false">
      <c r="A20" s="28" t="n">
        <v>5</v>
      </c>
      <c r="B20" s="29" t="n">
        <f aca="false">$B$6*(1+$B$7)^(A20-1)</f>
        <v>136.048896</v>
      </c>
      <c r="C20" s="29" t="n">
        <f aca="false">$B$10*(1+$B$11)^(A20-1)</f>
        <v>17.5692</v>
      </c>
      <c r="D20" s="29" t="n">
        <f aca="false">$B$8+INT((A20-1)/$B$9)</f>
        <v>3</v>
      </c>
      <c r="E20" s="30" t="n">
        <f aca="false">B20/$B$16</f>
        <v>1.36048896</v>
      </c>
      <c r="F20" s="30" t="n">
        <f aca="false">C20/$C$16</f>
        <v>1.4641</v>
      </c>
      <c r="G20" s="31"/>
    </row>
    <row r="21" customFormat="false" ht="15" hidden="false" customHeight="true" outlineLevel="0" collapsed="false">
      <c r="A21" s="32" t="n">
        <v>6</v>
      </c>
      <c r="B21" s="33" t="n">
        <f aca="false">$B$6*(1+$B$7)^(A21-1)</f>
        <v>146.93280768</v>
      </c>
      <c r="C21" s="33" t="n">
        <f aca="false">$B$10*(1+$B$11)^(A21-1)</f>
        <v>19.32612</v>
      </c>
      <c r="D21" s="33" t="n">
        <f aca="false">$B$8+INT((A21-1)/$B$9)</f>
        <v>3</v>
      </c>
      <c r="E21" s="34" t="n">
        <f aca="false">B21/$B$16</f>
        <v>1.4693280768</v>
      </c>
      <c r="F21" s="34" t="n">
        <f aca="false">C21/$C$16</f>
        <v>1.61051</v>
      </c>
      <c r="G21" s="35" t="s">
        <v>298</v>
      </c>
    </row>
    <row r="22" customFormat="false" ht="15" hidden="false" customHeight="true" outlineLevel="0" collapsed="false">
      <c r="A22" s="28" t="n">
        <v>7</v>
      </c>
      <c r="B22" s="29" t="n">
        <f aca="false">$B$6*(1+$B$7)^(A22-1)</f>
        <v>158.6874322944</v>
      </c>
      <c r="C22" s="29" t="n">
        <f aca="false">$B$10*(1+$B$11)^(A22-1)</f>
        <v>21.258732</v>
      </c>
      <c r="D22" s="29" t="n">
        <f aca="false">$B$8+INT((A22-1)/$B$9)</f>
        <v>3</v>
      </c>
      <c r="E22" s="30" t="n">
        <f aca="false">B22/$B$16</f>
        <v>1.586874322944</v>
      </c>
      <c r="F22" s="30" t="n">
        <f aca="false">C22/$C$16</f>
        <v>1.771561</v>
      </c>
      <c r="G22" s="31"/>
    </row>
    <row r="23" customFormat="false" ht="15" hidden="false" customHeight="true" outlineLevel="0" collapsed="false">
      <c r="A23" s="32" t="n">
        <v>8</v>
      </c>
      <c r="B23" s="33" t="n">
        <f aca="false">$B$6*(1+$B$7)^(A23-1)</f>
        <v>171.382426877952</v>
      </c>
      <c r="C23" s="33" t="n">
        <f aca="false">$B$10*(1+$B$11)^(A23-1)</f>
        <v>23.3846052</v>
      </c>
      <c r="D23" s="33" t="n">
        <f aca="false">$B$8+INT((A23-1)/$B$9)</f>
        <v>3</v>
      </c>
      <c r="E23" s="34" t="n">
        <f aca="false">B23/$B$16</f>
        <v>1.71382426877952</v>
      </c>
      <c r="F23" s="34" t="n">
        <f aca="false">C23/$C$16</f>
        <v>1.9487171</v>
      </c>
      <c r="G23" s="35"/>
    </row>
    <row r="24" customFormat="false" ht="15" hidden="false" customHeight="true" outlineLevel="0" collapsed="false">
      <c r="A24" s="28" t="n">
        <v>9</v>
      </c>
      <c r="B24" s="29" t="n">
        <f aca="false">$B$6*(1+$B$7)^(A24-1)</f>
        <v>185.093021028188</v>
      </c>
      <c r="C24" s="29" t="n">
        <f aca="false">$B$10*(1+$B$11)^(A24-1)</f>
        <v>25.72306572</v>
      </c>
      <c r="D24" s="29" t="n">
        <f aca="false">$B$8+INT((A24-1)/$B$9)</f>
        <v>3</v>
      </c>
      <c r="E24" s="30" t="n">
        <f aca="false">B24/$B$16</f>
        <v>1.85093021028188</v>
      </c>
      <c r="F24" s="30" t="n">
        <f aca="false">C24/$C$16</f>
        <v>2.14358881</v>
      </c>
      <c r="G24" s="31"/>
    </row>
    <row r="25" customFormat="false" ht="15" hidden="false" customHeight="true" outlineLevel="0" collapsed="false">
      <c r="A25" s="32" t="n">
        <v>10</v>
      </c>
      <c r="B25" s="33" t="n">
        <f aca="false">$B$6*(1+$B$7)^(A25-1)</f>
        <v>199.900462710443</v>
      </c>
      <c r="C25" s="33" t="n">
        <f aca="false">$B$10*(1+$B$11)^(A25-1)</f>
        <v>28.295372292</v>
      </c>
      <c r="D25" s="33" t="n">
        <f aca="false">$B$8+INT((A25-1)/$B$9)</f>
        <v>3</v>
      </c>
      <c r="E25" s="34" t="n">
        <f aca="false">B25/$B$16</f>
        <v>1.99900462710443</v>
      </c>
      <c r="F25" s="34" t="n">
        <f aca="false">C25/$C$16</f>
        <v>2.357947691</v>
      </c>
      <c r="G25" s="35"/>
    </row>
    <row r="26" customFormat="false" ht="15" hidden="false" customHeight="true" outlineLevel="0" collapsed="false">
      <c r="A26" s="28" t="n">
        <v>11</v>
      </c>
      <c r="B26" s="29" t="n">
        <f aca="false">$B$6*(1+$B$7)^(A26-1)</f>
        <v>215.892499727279</v>
      </c>
      <c r="C26" s="29" t="n">
        <f aca="false">$B$10*(1+$B$11)^(A26-1)</f>
        <v>31.1249095212</v>
      </c>
      <c r="D26" s="29" t="n">
        <f aca="false">$B$8+INT((A26-1)/$B$9)</f>
        <v>4</v>
      </c>
      <c r="E26" s="30" t="n">
        <f aca="false">B26/$B$16</f>
        <v>2.15892499727279</v>
      </c>
      <c r="F26" s="30" t="n">
        <f aca="false">C26/$C$16</f>
        <v>2.5937424601</v>
      </c>
      <c r="G26" s="31"/>
    </row>
    <row r="27" customFormat="false" ht="15" hidden="false" customHeight="true" outlineLevel="0" collapsed="false">
      <c r="A27" s="32" t="n">
        <v>12</v>
      </c>
      <c r="B27" s="33" t="n">
        <f aca="false">$B$6*(1+$B$7)^(A27-1)</f>
        <v>233.163899705461</v>
      </c>
      <c r="C27" s="33" t="n">
        <f aca="false">$B$10*(1+$B$11)^(A27-1)</f>
        <v>34.23740047332</v>
      </c>
      <c r="D27" s="33" t="n">
        <f aca="false">$B$8+INT((A27-1)/$B$9)</f>
        <v>4</v>
      </c>
      <c r="E27" s="34" t="n">
        <f aca="false">B27/$B$16</f>
        <v>2.33163899705461</v>
      </c>
      <c r="F27" s="34" t="n">
        <f aca="false">C27/$C$16</f>
        <v>2.85311670611</v>
      </c>
      <c r="G27" s="35" t="s">
        <v>299</v>
      </c>
    </row>
    <row r="28" customFormat="false" ht="15" hidden="false" customHeight="true" outlineLevel="0" collapsed="false">
      <c r="A28" s="28" t="n">
        <v>13</v>
      </c>
      <c r="B28" s="29" t="n">
        <f aca="false">$B$6*(1+$B$7)^(A28-1)</f>
        <v>251.817011681898</v>
      </c>
      <c r="C28" s="29" t="n">
        <f aca="false">$B$10*(1+$B$11)^(A28-1)</f>
        <v>37.661140520652</v>
      </c>
      <c r="D28" s="29" t="n">
        <f aca="false">$B$8+INT((A28-1)/$B$9)</f>
        <v>4</v>
      </c>
      <c r="E28" s="30" t="n">
        <f aca="false">B28/$B$16</f>
        <v>2.51817011681898</v>
      </c>
      <c r="F28" s="30" t="n">
        <f aca="false">C28/$C$16</f>
        <v>3.138428376721</v>
      </c>
      <c r="G28" s="31"/>
    </row>
    <row r="29" customFormat="false" ht="15" hidden="false" customHeight="true" outlineLevel="0" collapsed="false">
      <c r="A29" s="32" t="n">
        <v>14</v>
      </c>
      <c r="B29" s="33" t="n">
        <f aca="false">$B$6*(1+$B$7)^(A29-1)</f>
        <v>271.96237261645</v>
      </c>
      <c r="C29" s="33" t="n">
        <f aca="false">$B$10*(1+$B$11)^(A29-1)</f>
        <v>41.4272545727172</v>
      </c>
      <c r="D29" s="33" t="n">
        <f aca="false">$B$8+INT((A29-1)/$B$9)</f>
        <v>4</v>
      </c>
      <c r="E29" s="34" t="n">
        <f aca="false">B29/$B$16</f>
        <v>2.7196237261645</v>
      </c>
      <c r="F29" s="34" t="n">
        <f aca="false">C29/$C$16</f>
        <v>3.4522712143931</v>
      </c>
      <c r="G29" s="35"/>
    </row>
    <row r="30" customFormat="false" ht="15" hidden="false" customHeight="true" outlineLevel="0" collapsed="false">
      <c r="A30" s="28" t="n">
        <v>15</v>
      </c>
      <c r="B30" s="29" t="n">
        <f aca="false">$B$6*(1+$B$7)^(A30-1)</f>
        <v>293.719362425766</v>
      </c>
      <c r="C30" s="29" t="n">
        <f aca="false">$B$10*(1+$B$11)^(A30-1)</f>
        <v>45.569980029989</v>
      </c>
      <c r="D30" s="29" t="n">
        <f aca="false">$B$8+INT((A30-1)/$B$9)</f>
        <v>4</v>
      </c>
      <c r="E30" s="30" t="n">
        <f aca="false">B30/$B$16</f>
        <v>2.93719362425766</v>
      </c>
      <c r="F30" s="30" t="n">
        <f aca="false">C30/$C$16</f>
        <v>3.79749833583241</v>
      </c>
      <c r="G30" s="31"/>
    </row>
    <row r="31" customFormat="false" ht="15" hidden="false" customHeight="true" outlineLevel="0" collapsed="false">
      <c r="A31" s="32" t="n">
        <v>16</v>
      </c>
      <c r="B31" s="33" t="n">
        <f aca="false">$B$6*(1+$B$7)^(A31-1)</f>
        <v>317.216911419827</v>
      </c>
      <c r="C31" s="33" t="n">
        <f aca="false">$B$10*(1+$B$11)^(A31-1)</f>
        <v>50.1269780329879</v>
      </c>
      <c r="D31" s="33" t="n">
        <f aca="false">$B$8+INT((A31-1)/$B$9)</f>
        <v>4</v>
      </c>
      <c r="E31" s="34" t="n">
        <f aca="false">B31/$B$16</f>
        <v>3.17216911419827</v>
      </c>
      <c r="F31" s="34" t="n">
        <f aca="false">C31/$C$16</f>
        <v>4.17724816941566</v>
      </c>
      <c r="G31" s="35"/>
    </row>
    <row r="32" customFormat="false" ht="15" hidden="false" customHeight="true" outlineLevel="0" collapsed="false">
      <c r="A32" s="28" t="n">
        <v>17</v>
      </c>
      <c r="B32" s="29" t="n">
        <f aca="false">$B$6*(1+$B$7)^(A32-1)</f>
        <v>342.594264333413</v>
      </c>
      <c r="C32" s="29" t="n">
        <f aca="false">$B$10*(1+$B$11)^(A32-1)</f>
        <v>55.1396758362867</v>
      </c>
      <c r="D32" s="29" t="n">
        <f aca="false">$B$8+INT((A32-1)/$B$9)</f>
        <v>4</v>
      </c>
      <c r="E32" s="30" t="n">
        <f aca="false">B32/$B$16</f>
        <v>3.42594264333413</v>
      </c>
      <c r="F32" s="30" t="n">
        <f aca="false">C32/$C$16</f>
        <v>4.59497298635722</v>
      </c>
      <c r="G32" s="31"/>
    </row>
    <row r="33" customFormat="false" ht="15" hidden="false" customHeight="true" outlineLevel="0" collapsed="false">
      <c r="A33" s="32" t="n">
        <v>18</v>
      </c>
      <c r="B33" s="33" t="n">
        <f aca="false">$B$6*(1+$B$7)^(A33-1)</f>
        <v>370.001805480087</v>
      </c>
      <c r="C33" s="33" t="n">
        <f aca="false">$B$10*(1+$B$11)^(A33-1)</f>
        <v>60.6536434199153</v>
      </c>
      <c r="D33" s="33" t="n">
        <f aca="false">$B$8+INT((A33-1)/$B$9)</f>
        <v>4</v>
      </c>
      <c r="E33" s="34" t="n">
        <f aca="false">B33/$B$16</f>
        <v>3.70001805480087</v>
      </c>
      <c r="F33" s="34" t="n">
        <f aca="false">C33/$C$16</f>
        <v>5.05447028499295</v>
      </c>
      <c r="G33" s="35" t="s">
        <v>300</v>
      </c>
    </row>
    <row r="34" customFormat="false" ht="15" hidden="false" customHeight="true" outlineLevel="0" collapsed="false">
      <c r="A34" s="28" t="n">
        <v>19</v>
      </c>
      <c r="B34" s="29" t="n">
        <f aca="false">$B$6*(1+$B$7)^(A34-1)</f>
        <v>399.601949918493</v>
      </c>
      <c r="C34" s="29" t="n">
        <f aca="false">$B$10*(1+$B$11)^(A34-1)</f>
        <v>66.7190077619069</v>
      </c>
      <c r="D34" s="29" t="n">
        <f aca="false">$B$8+INT((A34-1)/$B$9)</f>
        <v>4</v>
      </c>
      <c r="E34" s="30" t="n">
        <f aca="false">B34/$B$16</f>
        <v>3.99601949918493</v>
      </c>
      <c r="F34" s="30" t="n">
        <f aca="false">C34/$C$16</f>
        <v>5.55991731349224</v>
      </c>
      <c r="G34" s="31"/>
    </row>
    <row r="35" customFormat="false" ht="15" hidden="false" customHeight="true" outlineLevel="0" collapsed="false">
      <c r="A35" s="32" t="n">
        <v>20</v>
      </c>
      <c r="B35" s="33" t="n">
        <f aca="false">$B$6*(1+$B$7)^(A35-1)</f>
        <v>431.570105911973</v>
      </c>
      <c r="C35" s="33" t="n">
        <f aca="false">$B$10*(1+$B$11)^(A35-1)</f>
        <v>73.3909085380976</v>
      </c>
      <c r="D35" s="33" t="n">
        <f aca="false">$B$8+INT((A35-1)/$B$9)</f>
        <v>4</v>
      </c>
      <c r="E35" s="34" t="n">
        <f aca="false">B35/$B$16</f>
        <v>4.31570105911973</v>
      </c>
      <c r="F35" s="34" t="n">
        <f aca="false">C35/$C$16</f>
        <v>6.11590904484146</v>
      </c>
      <c r="G35" s="35"/>
    </row>
    <row r="36" customFormat="false" ht="15" hidden="false" customHeight="true" outlineLevel="0" collapsed="false">
      <c r="A36" s="28" t="n">
        <v>21</v>
      </c>
      <c r="B36" s="29" t="n">
        <f aca="false">$B$6*(1+$B$7)^(A36-1)</f>
        <v>466.095714384931</v>
      </c>
      <c r="C36" s="29" t="n">
        <f aca="false">$B$10*(1+$B$11)^(A36-1)</f>
        <v>80.7299993919073</v>
      </c>
      <c r="D36" s="29" t="n">
        <f aca="false">$B$8+INT((A36-1)/$B$9)</f>
        <v>5</v>
      </c>
      <c r="E36" s="30" t="n">
        <f aca="false">B36/$B$16</f>
        <v>4.66095714384931</v>
      </c>
      <c r="F36" s="30" t="n">
        <f aca="false">C36/$C$16</f>
        <v>6.72749994932561</v>
      </c>
      <c r="G36" s="31"/>
    </row>
    <row r="37" customFormat="false" ht="15" hidden="false" customHeight="true" outlineLevel="0" collapsed="false">
      <c r="A37" s="32" t="n">
        <v>22</v>
      </c>
      <c r="B37" s="33" t="n">
        <f aca="false">$B$6*(1+$B$7)^(A37-1)</f>
        <v>503.383371535725</v>
      </c>
      <c r="C37" s="33" t="n">
        <f aca="false">$B$10*(1+$B$11)^(A37-1)</f>
        <v>88.8029993310981</v>
      </c>
      <c r="D37" s="33" t="n">
        <f aca="false">$B$8+INT((A37-1)/$B$9)</f>
        <v>5</v>
      </c>
      <c r="E37" s="34" t="n">
        <f aca="false">B37/$B$16</f>
        <v>5.03383371535725</v>
      </c>
      <c r="F37" s="34" t="n">
        <f aca="false">C37/$C$16</f>
        <v>7.40024994425817</v>
      </c>
      <c r="G37" s="35"/>
    </row>
    <row r="38" customFormat="false" ht="15" hidden="false" customHeight="true" outlineLevel="0" collapsed="false">
      <c r="A38" s="28" t="n">
        <v>23</v>
      </c>
      <c r="B38" s="29" t="n">
        <f aca="false">$B$6*(1+$B$7)^(A38-1)</f>
        <v>543.654041258583</v>
      </c>
      <c r="C38" s="29" t="n">
        <f aca="false">$B$10*(1+$B$11)^(A38-1)</f>
        <v>97.6832992642079</v>
      </c>
      <c r="D38" s="29" t="n">
        <f aca="false">$B$8+INT((A38-1)/$B$9)</f>
        <v>5</v>
      </c>
      <c r="E38" s="30" t="n">
        <f aca="false">B38/$B$16</f>
        <v>5.43654041258583</v>
      </c>
      <c r="F38" s="30" t="n">
        <f aca="false">C38/$C$16</f>
        <v>8.14027493868399</v>
      </c>
      <c r="G38" s="31"/>
    </row>
    <row r="39" customFormat="false" ht="15" hidden="false" customHeight="true" outlineLevel="0" collapsed="false">
      <c r="A39" s="32" t="n">
        <v>24</v>
      </c>
      <c r="B39" s="33" t="n">
        <f aca="false">$B$6*(1+$B$7)^(A39-1)</f>
        <v>587.14636455927</v>
      </c>
      <c r="C39" s="33" t="n">
        <f aca="false">$B$10*(1+$B$11)^(A39-1)</f>
        <v>107.451629190629</v>
      </c>
      <c r="D39" s="33" t="n">
        <f aca="false">$B$8+INT((A39-1)/$B$9)</f>
        <v>5</v>
      </c>
      <c r="E39" s="34" t="n">
        <f aca="false">B39/$B$16</f>
        <v>5.8714636455927</v>
      </c>
      <c r="F39" s="34" t="n">
        <f aca="false">C39/$C$16</f>
        <v>8.95430243255239</v>
      </c>
      <c r="G39" s="35" t="s">
        <v>301</v>
      </c>
    </row>
    <row r="40" customFormat="false" ht="15" hidden="false" customHeight="true" outlineLevel="0" collapsed="false">
      <c r="A40" s="28" t="n">
        <v>25</v>
      </c>
      <c r="B40" s="29" t="n">
        <f aca="false">$B$6*(1+$B$7)^(A40-1)</f>
        <v>634.118073724012</v>
      </c>
      <c r="C40" s="29" t="n">
        <f aca="false">$B$10*(1+$B$11)^(A40-1)</f>
        <v>118.196792109692</v>
      </c>
      <c r="D40" s="29" t="n">
        <f aca="false">$B$8+INT((A40-1)/$B$9)</f>
        <v>5</v>
      </c>
      <c r="E40" s="30" t="n">
        <f aca="false">B40/$B$16</f>
        <v>6.34118073724012</v>
      </c>
      <c r="F40" s="30" t="n">
        <f aca="false">C40/$C$16</f>
        <v>9.84973267580763</v>
      </c>
      <c r="G40" s="31"/>
    </row>
    <row r="41" customFormat="false" ht="15" hidden="false" customHeight="true" outlineLevel="0" collapsed="false">
      <c r="A41" s="32" t="n">
        <v>26</v>
      </c>
      <c r="B41" s="33" t="n">
        <f aca="false">$B$6*(1+$B$7)^(A41-1)</f>
        <v>684.847519621933</v>
      </c>
      <c r="C41" s="33" t="n">
        <f aca="false">$B$10*(1+$B$11)^(A41-1)</f>
        <v>130.016471320661</v>
      </c>
      <c r="D41" s="33" t="n">
        <f aca="false">$B$8+INT((A41-1)/$B$9)</f>
        <v>5</v>
      </c>
      <c r="E41" s="34" t="n">
        <f aca="false">B41/$B$16</f>
        <v>6.84847519621933</v>
      </c>
      <c r="F41" s="34" t="n">
        <f aca="false">C41/$C$16</f>
        <v>10.8347059433884</v>
      </c>
      <c r="G41" s="35"/>
    </row>
    <row r="42" customFormat="false" ht="15" hidden="false" customHeight="true" outlineLevel="0" collapsed="false">
      <c r="A42" s="28" t="n">
        <v>27</v>
      </c>
      <c r="B42" s="29" t="n">
        <f aca="false">$B$6*(1+$B$7)^(A42-1)</f>
        <v>739.635321191687</v>
      </c>
      <c r="C42" s="29" t="n">
        <f aca="false">$B$10*(1+$B$11)^(A42-1)</f>
        <v>143.018118452727</v>
      </c>
      <c r="D42" s="29" t="n">
        <f aca="false">$B$8+INT((A42-1)/$B$9)</f>
        <v>5</v>
      </c>
      <c r="E42" s="30" t="n">
        <f aca="false">B42/$B$16</f>
        <v>7.39635321191687</v>
      </c>
      <c r="F42" s="30" t="n">
        <f aca="false">C42/$C$16</f>
        <v>11.9181765377272</v>
      </c>
      <c r="G42" s="31"/>
    </row>
    <row r="43" customFormat="false" ht="15" hidden="false" customHeight="true" outlineLevel="0" collapsed="false">
      <c r="A43" s="32" t="n">
        <v>28</v>
      </c>
      <c r="B43" s="33" t="n">
        <f aca="false">$B$6*(1+$B$7)^(A43-1)</f>
        <v>798.806146887023</v>
      </c>
      <c r="C43" s="33" t="n">
        <f aca="false">$B$10*(1+$B$11)^(A43-1)</f>
        <v>157.319930298</v>
      </c>
      <c r="D43" s="33" t="n">
        <f aca="false">$B$8+INT((A43-1)/$B$9)</f>
        <v>5</v>
      </c>
      <c r="E43" s="34" t="n">
        <f aca="false">B43/$B$16</f>
        <v>7.98806146887022</v>
      </c>
      <c r="F43" s="34" t="n">
        <f aca="false">C43/$C$16</f>
        <v>13.1099941915</v>
      </c>
      <c r="G43" s="35"/>
    </row>
    <row r="44" customFormat="false" ht="15" hidden="false" customHeight="true" outlineLevel="0" collapsed="false">
      <c r="A44" s="28" t="n">
        <v>29</v>
      </c>
      <c r="B44" s="29" t="n">
        <f aca="false">$B$6*(1+$B$7)^(A44-1)</f>
        <v>862.710638637984</v>
      </c>
      <c r="C44" s="29" t="n">
        <f aca="false">$B$10*(1+$B$11)^(A44-1)</f>
        <v>173.051923327799</v>
      </c>
      <c r="D44" s="29" t="n">
        <f aca="false">$B$8+INT((A44-1)/$B$9)</f>
        <v>5</v>
      </c>
      <c r="E44" s="30" t="n">
        <f aca="false">B44/$B$16</f>
        <v>8.62710638637984</v>
      </c>
      <c r="F44" s="30" t="n">
        <f aca="false">C44/$C$16</f>
        <v>14.42099361065</v>
      </c>
      <c r="G44" s="31"/>
    </row>
    <row r="45" customFormat="false" ht="15" hidden="false" customHeight="true" outlineLevel="0" collapsed="false">
      <c r="A45" s="32" t="n">
        <v>30</v>
      </c>
      <c r="B45" s="33" t="n">
        <f aca="false">$B$6*(1+$B$7)^(A45-1)</f>
        <v>931.727489729023</v>
      </c>
      <c r="C45" s="33" t="n">
        <f aca="false">$B$10*(1+$B$11)^(A45-1)</f>
        <v>190.357115660579</v>
      </c>
      <c r="D45" s="33" t="n">
        <f aca="false">$B$8+INT((A45-1)/$B$9)</f>
        <v>5</v>
      </c>
      <c r="E45" s="34" t="n">
        <f aca="false">B45/$B$16</f>
        <v>9.31727489729023</v>
      </c>
      <c r="F45" s="34" t="n">
        <f aca="false">C45/$C$16</f>
        <v>15.863092971715</v>
      </c>
      <c r="G45" s="35" t="s">
        <v>302</v>
      </c>
    </row>
  </sheetData>
  <mergeCells count="4">
    <mergeCell ref="A1:G1"/>
    <mergeCell ref="A2:G2"/>
    <mergeCell ref="A4:G4"/>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4" min="3" style="1" width="16"/>
    <col collapsed="false" customWidth="true" hidden="false" outlineLevel="0" max="5" min="5" style="1" width="14"/>
    <col collapsed="false" customWidth="true" hidden="false" outlineLevel="0" max="6" min="6" style="1" width="50"/>
  </cols>
  <sheetData>
    <row r="1" customFormat="false" ht="19.5" hidden="false" customHeight="true" outlineLevel="0" collapsed="false">
      <c r="A1" s="2" t="s">
        <v>303</v>
      </c>
      <c r="B1" s="2"/>
      <c r="C1" s="2"/>
      <c r="D1" s="2"/>
      <c r="E1" s="2"/>
      <c r="F1" s="2"/>
    </row>
    <row r="2" customFormat="false" ht="15" hidden="false" customHeight="true" outlineLevel="0" collapsed="false">
      <c r="A2" s="3" t="s">
        <v>304</v>
      </c>
      <c r="B2" s="3"/>
      <c r="C2" s="3"/>
      <c r="D2" s="3"/>
      <c r="E2" s="3"/>
      <c r="F2" s="3"/>
    </row>
    <row r="4" customFormat="false" ht="21.75" hidden="false" customHeight="true" outlineLevel="0" collapsed="false">
      <c r="A4" s="9" t="s">
        <v>305</v>
      </c>
      <c r="B4" s="9"/>
      <c r="C4" s="9"/>
      <c r="D4" s="9"/>
      <c r="E4" s="9"/>
      <c r="F4" s="9"/>
    </row>
    <row r="5" customFormat="false" ht="15" hidden="false" customHeight="true" outlineLevel="0" collapsed="false">
      <c r="A5" s="8" t="s">
        <v>289</v>
      </c>
      <c r="B5" s="8" t="s">
        <v>75</v>
      </c>
    </row>
    <row r="6" customFormat="false" ht="15" hidden="false" customHeight="true" outlineLevel="0" collapsed="false">
      <c r="A6" s="25" t="s">
        <v>112</v>
      </c>
      <c r="B6" s="26" t="n">
        <f aca="false">Assumptions!$C$19</f>
        <v>100</v>
      </c>
    </row>
    <row r="7" customFormat="false" ht="15" hidden="false" customHeight="true" outlineLevel="0" collapsed="false">
      <c r="A7" s="25" t="s">
        <v>115</v>
      </c>
      <c r="B7" s="27" t="n">
        <f aca="false">Assumptions!$C$20</f>
        <v>0.15</v>
      </c>
    </row>
    <row r="8" customFormat="false" ht="15" hidden="false" customHeight="true" outlineLevel="0" collapsed="false">
      <c r="A8" s="25" t="s">
        <v>82</v>
      </c>
      <c r="B8" s="26" t="n">
        <f aca="false">Assumptions!$C$7</f>
        <v>60</v>
      </c>
    </row>
    <row r="10" customFormat="false" ht="21.75" hidden="false" customHeight="true" outlineLevel="0" collapsed="false">
      <c r="A10" s="9" t="s">
        <v>306</v>
      </c>
      <c r="B10" s="9"/>
      <c r="C10" s="9"/>
      <c r="D10" s="9"/>
      <c r="E10" s="9"/>
      <c r="F10" s="9"/>
    </row>
    <row r="11" customFormat="false" ht="27.75" hidden="false" customHeight="true" outlineLevel="0" collapsed="false">
      <c r="A11" s="8" t="s">
        <v>307</v>
      </c>
      <c r="B11" s="8" t="s">
        <v>308</v>
      </c>
      <c r="C11" s="8" t="s">
        <v>309</v>
      </c>
      <c r="D11" s="8" t="s">
        <v>310</v>
      </c>
      <c r="E11" s="8" t="s">
        <v>311</v>
      </c>
      <c r="F11" s="8" t="s">
        <v>297</v>
      </c>
    </row>
    <row r="12" customFormat="false" ht="15" hidden="false" customHeight="true" outlineLevel="0" collapsed="false">
      <c r="A12" s="28" t="n">
        <v>1</v>
      </c>
      <c r="B12" s="29" t="n">
        <f aca="false">ROUND($B$6*(1+$B$7)^(A12-1),0)</f>
        <v>100</v>
      </c>
      <c r="C12" s="29" t="n">
        <f aca="false">0</f>
        <v>0</v>
      </c>
      <c r="D12" s="30" t="n">
        <f aca="false">B12/$B$12</f>
        <v>1</v>
      </c>
      <c r="E12" s="31" t="s">
        <v>312</v>
      </c>
    </row>
    <row r="13" customFormat="false" ht="15" hidden="false" customHeight="true" outlineLevel="0" collapsed="false">
      <c r="A13" s="28" t="n">
        <v>2</v>
      </c>
      <c r="B13" s="29" t="n">
        <f aca="false">ROUND($B$6*(1+$B$7)^(A13-1),0)</f>
        <v>115</v>
      </c>
      <c r="C13" s="29" t="n">
        <f aca="false">C12+B12</f>
        <v>100</v>
      </c>
      <c r="D13" s="30" t="n">
        <f aca="false">B13/$B$12</f>
        <v>1.15</v>
      </c>
      <c r="E13" s="31" t="s">
        <v>313</v>
      </c>
    </row>
    <row r="14" customFormat="false" ht="15" hidden="false" customHeight="true" outlineLevel="0" collapsed="false">
      <c r="A14" s="28" t="n">
        <v>3</v>
      </c>
      <c r="B14" s="29" t="n">
        <f aca="false">ROUND($B$6*(1+$B$7)^(A14-1),0)</f>
        <v>132</v>
      </c>
      <c r="C14" s="29" t="n">
        <f aca="false">C13+B13</f>
        <v>215</v>
      </c>
      <c r="D14" s="30" t="n">
        <f aca="false">B14/$B$12</f>
        <v>1.32</v>
      </c>
      <c r="E14" s="31" t="s">
        <v>314</v>
      </c>
    </row>
    <row r="15" customFormat="false" ht="15" hidden="false" customHeight="true" outlineLevel="0" collapsed="false">
      <c r="A15" s="28" t="n">
        <v>4</v>
      </c>
      <c r="B15" s="29" t="n">
        <f aca="false">ROUND($B$6*(1+$B$7)^(A15-1),0)</f>
        <v>152</v>
      </c>
      <c r="C15" s="29" t="n">
        <f aca="false">C14+B14</f>
        <v>347</v>
      </c>
      <c r="D15" s="30" t="n">
        <f aca="false">B15/$B$12</f>
        <v>1.52</v>
      </c>
      <c r="E15" s="31"/>
    </row>
    <row r="16" customFormat="false" ht="15" hidden="false" customHeight="true" outlineLevel="0" collapsed="false">
      <c r="A16" s="32" t="n">
        <v>5</v>
      </c>
      <c r="B16" s="33" t="n">
        <f aca="false">ROUND($B$6*(1+$B$7)^(A16-1),0)</f>
        <v>175</v>
      </c>
      <c r="C16" s="33" t="n">
        <f aca="false">C15+B15</f>
        <v>499</v>
      </c>
      <c r="D16" s="34" t="n">
        <f aca="false">B16/$B$12</f>
        <v>1.75</v>
      </c>
      <c r="E16" s="35" t="s">
        <v>315</v>
      </c>
      <c r="F16" s="36"/>
    </row>
    <row r="17" customFormat="false" ht="15" hidden="false" customHeight="true" outlineLevel="0" collapsed="false">
      <c r="A17" s="28" t="n">
        <v>6</v>
      </c>
      <c r="B17" s="29" t="n">
        <f aca="false">ROUND($B$6*(1+$B$7)^(A17-1),0)</f>
        <v>201</v>
      </c>
      <c r="C17" s="29" t="n">
        <f aca="false">C16+B16</f>
        <v>674</v>
      </c>
      <c r="D17" s="30" t="n">
        <f aca="false">B17/$B$12</f>
        <v>2.01</v>
      </c>
      <c r="E17" s="31"/>
    </row>
    <row r="18" customFormat="false" ht="15" hidden="false" customHeight="true" outlineLevel="0" collapsed="false">
      <c r="A18" s="28" t="n">
        <v>7</v>
      </c>
      <c r="B18" s="29" t="n">
        <f aca="false">ROUND($B$6*(1+$B$7)^(A18-1),0)</f>
        <v>231</v>
      </c>
      <c r="C18" s="29" t="n">
        <f aca="false">C17+B17</f>
        <v>875</v>
      </c>
      <c r="D18" s="30" t="n">
        <f aca="false">B18/$B$12</f>
        <v>2.31</v>
      </c>
      <c r="E18" s="31"/>
    </row>
    <row r="19" customFormat="false" ht="15" hidden="false" customHeight="true" outlineLevel="0" collapsed="false">
      <c r="A19" s="28" t="n">
        <v>8</v>
      </c>
      <c r="B19" s="29" t="n">
        <f aca="false">ROUND($B$6*(1+$B$7)^(A19-1),0)</f>
        <v>266</v>
      </c>
      <c r="C19" s="29" t="n">
        <f aca="false">C18+B18</f>
        <v>1106</v>
      </c>
      <c r="D19" s="30" t="n">
        <f aca="false">B19/$B$12</f>
        <v>2.66</v>
      </c>
      <c r="E19" s="31" t="s">
        <v>316</v>
      </c>
    </row>
    <row r="20" customFormat="false" ht="15" hidden="false" customHeight="true" outlineLevel="0" collapsed="false">
      <c r="A20" s="28" t="n">
        <v>9</v>
      </c>
      <c r="B20" s="29" t="n">
        <f aca="false">ROUND($B$6*(1+$B$7)^(A20-1),0)</f>
        <v>306</v>
      </c>
      <c r="C20" s="29" t="n">
        <f aca="false">C19+B19</f>
        <v>1372</v>
      </c>
      <c r="D20" s="30" t="n">
        <f aca="false">B20/$B$12</f>
        <v>3.06</v>
      </c>
      <c r="E20" s="31"/>
    </row>
    <row r="21" customFormat="false" ht="15" hidden="false" customHeight="true" outlineLevel="0" collapsed="false">
      <c r="A21" s="32" t="n">
        <v>10</v>
      </c>
      <c r="B21" s="33" t="n">
        <f aca="false">ROUND($B$6*(1+$B$7)^(A21-1),0)</f>
        <v>352</v>
      </c>
      <c r="C21" s="33" t="n">
        <f aca="false">C20+B20</f>
        <v>1678</v>
      </c>
      <c r="D21" s="34" t="n">
        <f aca="false">B21/$B$12</f>
        <v>3.52</v>
      </c>
      <c r="E21" s="35" t="s">
        <v>317</v>
      </c>
      <c r="F21" s="36"/>
    </row>
    <row r="22" customFormat="false" ht="15" hidden="false" customHeight="true" outlineLevel="0" collapsed="false">
      <c r="A22" s="28" t="n">
        <v>11</v>
      </c>
      <c r="B22" s="29" t="n">
        <f aca="false">ROUND($B$6*(1+$B$7)^(A22-1),0)</f>
        <v>405</v>
      </c>
      <c r="C22" s="29" t="n">
        <f aca="false">C21+B21</f>
        <v>2030</v>
      </c>
      <c r="D22" s="30" t="n">
        <f aca="false">B22/$B$12</f>
        <v>4.05</v>
      </c>
      <c r="E22" s="31"/>
    </row>
    <row r="23" customFormat="false" ht="15" hidden="false" customHeight="true" outlineLevel="0" collapsed="false">
      <c r="A23" s="28" t="n">
        <v>12</v>
      </c>
      <c r="B23" s="29" t="n">
        <f aca="false">ROUND($B$6*(1+$B$7)^(A23-1),0)</f>
        <v>465</v>
      </c>
      <c r="C23" s="29" t="n">
        <f aca="false">C22+B22</f>
        <v>2435</v>
      </c>
      <c r="D23" s="30" t="n">
        <f aca="false">B23/$B$12</f>
        <v>4.65</v>
      </c>
      <c r="E23" s="31" t="s">
        <v>318</v>
      </c>
    </row>
    <row r="24" customFormat="false" ht="15" hidden="false" customHeight="true" outlineLevel="0" collapsed="false">
      <c r="A24" s="28" t="n">
        <v>13</v>
      </c>
      <c r="B24" s="29" t="n">
        <f aca="false">ROUND($B$6*(1+$B$7)^(A24-1),0)</f>
        <v>535</v>
      </c>
      <c r="C24" s="29" t="n">
        <f aca="false">C23+B23</f>
        <v>2900</v>
      </c>
      <c r="D24" s="30" t="n">
        <f aca="false">B24/$B$12</f>
        <v>5.35</v>
      </c>
      <c r="E24" s="31"/>
    </row>
    <row r="25" customFormat="false" ht="15" hidden="false" customHeight="true" outlineLevel="0" collapsed="false">
      <c r="A25" s="28" t="n">
        <v>14</v>
      </c>
      <c r="B25" s="29" t="n">
        <f aca="false">ROUND($B$6*(1+$B$7)^(A25-1),0)</f>
        <v>615</v>
      </c>
      <c r="C25" s="29" t="n">
        <f aca="false">C24+B24</f>
        <v>3435</v>
      </c>
      <c r="D25" s="30" t="n">
        <f aca="false">B25/$B$12</f>
        <v>6.15</v>
      </c>
      <c r="E25" s="31"/>
    </row>
    <row r="26" customFormat="false" ht="15" hidden="false" customHeight="true" outlineLevel="0" collapsed="false">
      <c r="A26" s="32" t="n">
        <v>15</v>
      </c>
      <c r="B26" s="33" t="n">
        <f aca="false">ROUND($B$6*(1+$B$7)^(A26-1),0)</f>
        <v>708</v>
      </c>
      <c r="C26" s="33" t="n">
        <f aca="false">C25+B25</f>
        <v>4050</v>
      </c>
      <c r="D26" s="34" t="n">
        <f aca="false">B26/$B$12</f>
        <v>7.08</v>
      </c>
      <c r="E26" s="35" t="s">
        <v>319</v>
      </c>
      <c r="F26" s="36"/>
    </row>
    <row r="27" customFormat="false" ht="15" hidden="false" customHeight="true" outlineLevel="0" collapsed="false">
      <c r="A27" s="28" t="n">
        <v>16</v>
      </c>
      <c r="B27" s="29" t="n">
        <f aca="false">ROUND($B$6*(1+$B$7)^(A27-1),0)</f>
        <v>814</v>
      </c>
      <c r="C27" s="29" t="n">
        <f aca="false">C26+B26</f>
        <v>4758</v>
      </c>
      <c r="D27" s="30" t="n">
        <f aca="false">B27/$B$12</f>
        <v>8.14</v>
      </c>
      <c r="E27" s="31"/>
    </row>
    <row r="28" customFormat="false" ht="15" hidden="false" customHeight="true" outlineLevel="0" collapsed="false">
      <c r="A28" s="28" t="n">
        <v>17</v>
      </c>
      <c r="B28" s="29" t="n">
        <f aca="false">ROUND($B$6*(1+$B$7)^(A28-1),0)</f>
        <v>936</v>
      </c>
      <c r="C28" s="29" t="n">
        <f aca="false">C27+B27</f>
        <v>5572</v>
      </c>
      <c r="D28" s="30" t="n">
        <f aca="false">B28/$B$12</f>
        <v>9.36</v>
      </c>
      <c r="E28" s="31"/>
    </row>
    <row r="29" customFormat="false" ht="15" hidden="false" customHeight="true" outlineLevel="0" collapsed="false">
      <c r="A29" s="28" t="n">
        <v>18</v>
      </c>
      <c r="B29" s="29" t="n">
        <f aca="false">ROUND($B$6*(1+$B$7)^(A29-1),0)</f>
        <v>1076</v>
      </c>
      <c r="C29" s="29" t="n">
        <f aca="false">C28+B28</f>
        <v>6508</v>
      </c>
      <c r="D29" s="30" t="n">
        <f aca="false">B29/$B$12</f>
        <v>10.76</v>
      </c>
      <c r="E29" s="31" t="s">
        <v>320</v>
      </c>
    </row>
    <row r="30" customFormat="false" ht="15" hidden="false" customHeight="true" outlineLevel="0" collapsed="false">
      <c r="A30" s="28" t="n">
        <v>19</v>
      </c>
      <c r="B30" s="29" t="n">
        <f aca="false">ROUND($B$6*(1+$B$7)^(A30-1),0)</f>
        <v>1238</v>
      </c>
      <c r="C30" s="29" t="n">
        <f aca="false">C29+B29</f>
        <v>7584</v>
      </c>
      <c r="D30" s="30" t="n">
        <f aca="false">B30/$B$12</f>
        <v>12.38</v>
      </c>
      <c r="E30" s="31"/>
    </row>
    <row r="31" customFormat="false" ht="15" hidden="false" customHeight="true" outlineLevel="0" collapsed="false">
      <c r="A31" s="32" t="n">
        <v>20</v>
      </c>
      <c r="B31" s="33" t="n">
        <f aca="false">ROUND($B$6*(1+$B$7)^(A31-1),0)</f>
        <v>1423</v>
      </c>
      <c r="C31" s="33" t="n">
        <f aca="false">C30+B30</f>
        <v>8822</v>
      </c>
      <c r="D31" s="34" t="n">
        <f aca="false">B31/$B$12</f>
        <v>14.23</v>
      </c>
      <c r="E31" s="35" t="s">
        <v>321</v>
      </c>
      <c r="F31" s="36"/>
    </row>
    <row r="32" customFormat="false" ht="15" hidden="false" customHeight="true" outlineLevel="0" collapsed="false">
      <c r="A32" s="28" t="n">
        <v>21</v>
      </c>
      <c r="B32" s="29" t="n">
        <f aca="false">ROUND($B$6*(1+$B$7)^(A32-1),0)</f>
        <v>1637</v>
      </c>
      <c r="C32" s="29" t="n">
        <f aca="false">C31+B31</f>
        <v>10245</v>
      </c>
      <c r="D32" s="30" t="n">
        <f aca="false">B32/$B$12</f>
        <v>16.37</v>
      </c>
      <c r="E32" s="31"/>
    </row>
    <row r="33" customFormat="false" ht="15" hidden="false" customHeight="true" outlineLevel="0" collapsed="false">
      <c r="A33" s="28" t="n">
        <v>22</v>
      </c>
      <c r="B33" s="29" t="n">
        <f aca="false">ROUND($B$6*(1+$B$7)^(A33-1),0)</f>
        <v>1882</v>
      </c>
      <c r="C33" s="29" t="n">
        <f aca="false">C32+B32</f>
        <v>11882</v>
      </c>
      <c r="D33" s="30" t="n">
        <f aca="false">B33/$B$12</f>
        <v>18.82</v>
      </c>
      <c r="E33" s="31"/>
    </row>
    <row r="34" customFormat="false" ht="15" hidden="false" customHeight="true" outlineLevel="0" collapsed="false">
      <c r="A34" s="28" t="n">
        <v>23</v>
      </c>
      <c r="B34" s="29" t="n">
        <f aca="false">ROUND($B$6*(1+$B$7)^(A34-1),0)</f>
        <v>2164</v>
      </c>
      <c r="C34" s="29" t="n">
        <f aca="false">C33+B33</f>
        <v>13764</v>
      </c>
      <c r="D34" s="30" t="n">
        <f aca="false">B34/$B$12</f>
        <v>21.64</v>
      </c>
      <c r="E34" s="31"/>
    </row>
    <row r="35" customFormat="false" ht="15" hidden="false" customHeight="true" outlineLevel="0" collapsed="false">
      <c r="A35" s="28" t="n">
        <v>24</v>
      </c>
      <c r="B35" s="29" t="n">
        <f aca="false">ROUND($B$6*(1+$B$7)^(A35-1),0)</f>
        <v>2489</v>
      </c>
      <c r="C35" s="29" t="n">
        <f aca="false">C34+B34</f>
        <v>15928</v>
      </c>
      <c r="D35" s="30" t="n">
        <f aca="false">B35/$B$12</f>
        <v>24.89</v>
      </c>
      <c r="E35" s="31"/>
    </row>
    <row r="36" customFormat="false" ht="15" hidden="false" customHeight="true" outlineLevel="0" collapsed="false">
      <c r="A36" s="32" t="n">
        <v>25</v>
      </c>
      <c r="B36" s="33" t="n">
        <f aca="false">ROUND($B$6*(1+$B$7)^(A36-1),0)</f>
        <v>2863</v>
      </c>
      <c r="C36" s="33" t="n">
        <f aca="false">C35+B35</f>
        <v>18417</v>
      </c>
      <c r="D36" s="34" t="n">
        <f aca="false">B36/$B$12</f>
        <v>28.63</v>
      </c>
      <c r="E36" s="35" t="s">
        <v>322</v>
      </c>
      <c r="F36" s="36"/>
    </row>
    <row r="37" customFormat="false" ht="15" hidden="false" customHeight="true" outlineLevel="0" collapsed="false">
      <c r="A37" s="28" t="n">
        <v>26</v>
      </c>
      <c r="B37" s="29" t="n">
        <f aca="false">ROUND($B$6*(1+$B$7)^(A37-1),0)</f>
        <v>3292</v>
      </c>
      <c r="C37" s="29" t="n">
        <f aca="false">C36+B36</f>
        <v>21280</v>
      </c>
      <c r="D37" s="30" t="n">
        <f aca="false">B37/$B$12</f>
        <v>32.92</v>
      </c>
      <c r="E37" s="31"/>
    </row>
    <row r="38" customFormat="false" ht="15" hidden="false" customHeight="true" outlineLevel="0" collapsed="false">
      <c r="A38" s="28" t="n">
        <v>27</v>
      </c>
      <c r="B38" s="29" t="n">
        <f aca="false">ROUND($B$6*(1+$B$7)^(A38-1),0)</f>
        <v>3786</v>
      </c>
      <c r="C38" s="29" t="n">
        <f aca="false">C37+B37</f>
        <v>24572</v>
      </c>
      <c r="D38" s="30" t="n">
        <f aca="false">B38/$B$12</f>
        <v>37.86</v>
      </c>
      <c r="E38" s="31"/>
    </row>
    <row r="39" customFormat="false" ht="15" hidden="false" customHeight="true" outlineLevel="0" collapsed="false">
      <c r="A39" s="28" t="n">
        <v>28</v>
      </c>
      <c r="B39" s="29" t="n">
        <f aca="false">ROUND($B$6*(1+$B$7)^(A39-1),0)</f>
        <v>4354</v>
      </c>
      <c r="C39" s="29" t="n">
        <f aca="false">C38+B38</f>
        <v>28358</v>
      </c>
      <c r="D39" s="30" t="n">
        <f aca="false">B39/$B$12</f>
        <v>43.54</v>
      </c>
      <c r="E39" s="31"/>
    </row>
    <row r="40" customFormat="false" ht="15" hidden="false" customHeight="true" outlineLevel="0" collapsed="false">
      <c r="A40" s="28" t="n">
        <v>29</v>
      </c>
      <c r="B40" s="29" t="n">
        <f aca="false">ROUND($B$6*(1+$B$7)^(A40-1),0)</f>
        <v>5007</v>
      </c>
      <c r="C40" s="29" t="n">
        <f aca="false">C39+B39</f>
        <v>32712</v>
      </c>
      <c r="D40" s="30" t="n">
        <f aca="false">B40/$B$12</f>
        <v>50.07</v>
      </c>
      <c r="E40" s="31"/>
    </row>
    <row r="41" customFormat="false" ht="15" hidden="false" customHeight="true" outlineLevel="0" collapsed="false">
      <c r="A41" s="32" t="n">
        <v>30</v>
      </c>
      <c r="B41" s="33" t="n">
        <f aca="false">ROUND($B$6*(1+$B$7)^(A41-1),0)</f>
        <v>5758</v>
      </c>
      <c r="C41" s="33" t="n">
        <f aca="false">C40+B40</f>
        <v>37719</v>
      </c>
      <c r="D41" s="34" t="n">
        <f aca="false">B41/$B$12</f>
        <v>57.58</v>
      </c>
      <c r="E41" s="35" t="s">
        <v>323</v>
      </c>
      <c r="F41" s="36"/>
    </row>
    <row r="42" customFormat="false" ht="15" hidden="false" customHeight="true" outlineLevel="0" collapsed="false">
      <c r="A42" s="28" t="n">
        <v>31</v>
      </c>
      <c r="B42" s="29" t="n">
        <f aca="false">ROUND($B$6*(1+$B$7)^(A42-1),0)</f>
        <v>6621</v>
      </c>
      <c r="C42" s="29" t="n">
        <f aca="false">C41+B41</f>
        <v>43477</v>
      </c>
      <c r="D42" s="30" t="n">
        <f aca="false">B42/$B$12</f>
        <v>66.21</v>
      </c>
      <c r="E42" s="31"/>
    </row>
    <row r="43" customFormat="false" ht="15" hidden="false" customHeight="true" outlineLevel="0" collapsed="false">
      <c r="A43" s="28" t="n">
        <v>32</v>
      </c>
      <c r="B43" s="29" t="n">
        <f aca="false">ROUND($B$6*(1+$B$7)^(A43-1),0)</f>
        <v>7614</v>
      </c>
      <c r="C43" s="29" t="n">
        <f aca="false">C42+B42</f>
        <v>50098</v>
      </c>
      <c r="D43" s="30" t="n">
        <f aca="false">B43/$B$12</f>
        <v>76.14</v>
      </c>
      <c r="E43" s="31"/>
    </row>
    <row r="44" customFormat="false" ht="15" hidden="false" customHeight="true" outlineLevel="0" collapsed="false">
      <c r="A44" s="28" t="n">
        <v>33</v>
      </c>
      <c r="B44" s="29" t="n">
        <f aca="false">ROUND($B$6*(1+$B$7)^(A44-1),0)</f>
        <v>8757</v>
      </c>
      <c r="C44" s="29" t="n">
        <f aca="false">C43+B43</f>
        <v>57712</v>
      </c>
      <c r="D44" s="30" t="n">
        <f aca="false">B44/$B$12</f>
        <v>87.57</v>
      </c>
      <c r="E44" s="31"/>
    </row>
    <row r="45" customFormat="false" ht="15" hidden="false" customHeight="true" outlineLevel="0" collapsed="false">
      <c r="A45" s="28" t="n">
        <v>34</v>
      </c>
      <c r="B45" s="29" t="n">
        <f aca="false">ROUND($B$6*(1+$B$7)^(A45-1),0)</f>
        <v>10070</v>
      </c>
      <c r="C45" s="29" t="n">
        <f aca="false">C44+B44</f>
        <v>66469</v>
      </c>
      <c r="D45" s="30" t="n">
        <f aca="false">B45/$B$12</f>
        <v>100.7</v>
      </c>
      <c r="E45" s="31"/>
    </row>
    <row r="46" customFormat="false" ht="15" hidden="false" customHeight="true" outlineLevel="0" collapsed="false">
      <c r="A46" s="32" t="n">
        <v>35</v>
      </c>
      <c r="B46" s="33" t="n">
        <f aca="false">ROUND($B$6*(1+$B$7)^(A46-1),0)</f>
        <v>11580</v>
      </c>
      <c r="C46" s="33" t="n">
        <f aca="false">C45+B45</f>
        <v>76539</v>
      </c>
      <c r="D46" s="34" t="n">
        <f aca="false">B46/$B$12</f>
        <v>115.8</v>
      </c>
      <c r="E46" s="35" t="s">
        <v>324</v>
      </c>
      <c r="F46" s="36"/>
    </row>
    <row r="47" customFormat="false" ht="15" hidden="false" customHeight="true" outlineLevel="0" collapsed="false">
      <c r="A47" s="28" t="n">
        <v>36</v>
      </c>
      <c r="B47" s="29" t="n">
        <f aca="false">ROUND($B$6*(1+$B$7)^(A47-1),0)</f>
        <v>13318</v>
      </c>
      <c r="C47" s="29" t="n">
        <f aca="false">C46+B46</f>
        <v>88119</v>
      </c>
      <c r="D47" s="30" t="n">
        <f aca="false">B47/$B$12</f>
        <v>133.18</v>
      </c>
      <c r="E47" s="31"/>
    </row>
    <row r="48" customFormat="false" ht="15" hidden="false" customHeight="true" outlineLevel="0" collapsed="false">
      <c r="A48" s="28" t="n">
        <v>37</v>
      </c>
      <c r="B48" s="29" t="n">
        <f aca="false">ROUND($B$6*(1+$B$7)^(A48-1),0)</f>
        <v>15315</v>
      </c>
      <c r="C48" s="29" t="n">
        <f aca="false">C47+B47</f>
        <v>101437</v>
      </c>
      <c r="D48" s="30" t="n">
        <f aca="false">B48/$B$12</f>
        <v>153.15</v>
      </c>
      <c r="E48" s="31"/>
    </row>
    <row r="49" customFormat="false" ht="15" hidden="false" customHeight="true" outlineLevel="0" collapsed="false">
      <c r="A49" s="28" t="n">
        <v>38</v>
      </c>
      <c r="B49" s="29" t="n">
        <f aca="false">ROUND($B$6*(1+$B$7)^(A49-1),0)</f>
        <v>17612</v>
      </c>
      <c r="C49" s="29" t="n">
        <f aca="false">C48+B48</f>
        <v>116752</v>
      </c>
      <c r="D49" s="30" t="n">
        <f aca="false">B49/$B$12</f>
        <v>176.12</v>
      </c>
      <c r="E49" s="31"/>
    </row>
    <row r="50" customFormat="false" ht="15" hidden="false" customHeight="true" outlineLevel="0" collapsed="false">
      <c r="A50" s="28" t="n">
        <v>39</v>
      </c>
      <c r="B50" s="29" t="n">
        <f aca="false">ROUND($B$6*(1+$B$7)^(A50-1),0)</f>
        <v>20254</v>
      </c>
      <c r="C50" s="29" t="n">
        <f aca="false">C49+B49</f>
        <v>134364</v>
      </c>
      <c r="D50" s="30" t="n">
        <f aca="false">B50/$B$12</f>
        <v>202.54</v>
      </c>
      <c r="E50" s="31"/>
    </row>
    <row r="51" customFormat="false" ht="15" hidden="false" customHeight="true" outlineLevel="0" collapsed="false">
      <c r="A51" s="32" t="n">
        <v>40</v>
      </c>
      <c r="B51" s="33" t="n">
        <f aca="false">ROUND($B$6*(1+$B$7)^(A51-1),0)</f>
        <v>23292</v>
      </c>
      <c r="C51" s="33" t="n">
        <f aca="false">C50+B50</f>
        <v>154618</v>
      </c>
      <c r="D51" s="34" t="n">
        <f aca="false">B51/$B$12</f>
        <v>232.92</v>
      </c>
      <c r="E51" s="35" t="s">
        <v>325</v>
      </c>
      <c r="F51" s="36"/>
    </row>
    <row r="52" customFormat="false" ht="15" hidden="false" customHeight="true" outlineLevel="0" collapsed="false">
      <c r="A52" s="28" t="n">
        <v>41</v>
      </c>
      <c r="B52" s="29" t="n">
        <f aca="false">ROUND($B$6*(1+$B$7)^(A52-1),0)</f>
        <v>26786</v>
      </c>
      <c r="C52" s="29" t="n">
        <f aca="false">C51+B51</f>
        <v>177910</v>
      </c>
      <c r="D52" s="30" t="n">
        <f aca="false">B52/$B$12</f>
        <v>267.86</v>
      </c>
      <c r="E52" s="31"/>
    </row>
    <row r="53" customFormat="false" ht="15" hidden="false" customHeight="true" outlineLevel="0" collapsed="false">
      <c r="A53" s="28" t="n">
        <v>42</v>
      </c>
      <c r="B53" s="29" t="n">
        <f aca="false">ROUND($B$6*(1+$B$7)^(A53-1),0)</f>
        <v>30804</v>
      </c>
      <c r="C53" s="29" t="n">
        <f aca="false">C52+B52</f>
        <v>204696</v>
      </c>
      <c r="D53" s="30" t="n">
        <f aca="false">B53/$B$12</f>
        <v>308.04</v>
      </c>
      <c r="E53" s="31"/>
    </row>
    <row r="54" customFormat="false" ht="15" hidden="false" customHeight="true" outlineLevel="0" collapsed="false">
      <c r="A54" s="28" t="n">
        <v>43</v>
      </c>
      <c r="B54" s="29" t="n">
        <f aca="false">ROUND($B$6*(1+$B$7)^(A54-1),0)</f>
        <v>35425</v>
      </c>
      <c r="C54" s="29" t="n">
        <f aca="false">C53+B53</f>
        <v>235500</v>
      </c>
      <c r="D54" s="30" t="n">
        <f aca="false">B54/$B$12</f>
        <v>354.25</v>
      </c>
      <c r="E54" s="31"/>
    </row>
    <row r="55" customFormat="false" ht="15" hidden="false" customHeight="true" outlineLevel="0" collapsed="false">
      <c r="A55" s="28" t="n">
        <v>44</v>
      </c>
      <c r="B55" s="29" t="n">
        <f aca="false">ROUND($B$6*(1+$B$7)^(A55-1),0)</f>
        <v>40739</v>
      </c>
      <c r="C55" s="29" t="n">
        <f aca="false">C54+B54</f>
        <v>270925</v>
      </c>
      <c r="D55" s="30" t="n">
        <f aca="false">B55/$B$12</f>
        <v>407.39</v>
      </c>
      <c r="E55" s="31"/>
    </row>
    <row r="56" customFormat="false" ht="15" hidden="false" customHeight="true" outlineLevel="0" collapsed="false">
      <c r="A56" s="32" t="n">
        <v>45</v>
      </c>
      <c r="B56" s="33" t="n">
        <f aca="false">ROUND($B$6*(1+$B$7)^(A56-1),0)</f>
        <v>46850</v>
      </c>
      <c r="C56" s="33" t="n">
        <f aca="false">C55+B55</f>
        <v>311664</v>
      </c>
      <c r="D56" s="34" t="n">
        <f aca="false">B56/$B$12</f>
        <v>468.5</v>
      </c>
      <c r="E56" s="35"/>
      <c r="F56" s="36"/>
    </row>
    <row r="57" customFormat="false" ht="15" hidden="false" customHeight="true" outlineLevel="0" collapsed="false">
      <c r="A57" s="28" t="n">
        <v>46</v>
      </c>
      <c r="B57" s="29" t="n">
        <f aca="false">ROUND($B$6*(1+$B$7)^(A57-1),0)</f>
        <v>53877</v>
      </c>
      <c r="C57" s="29" t="n">
        <f aca="false">C56+B56</f>
        <v>358514</v>
      </c>
      <c r="D57" s="30" t="n">
        <f aca="false">B57/$B$12</f>
        <v>538.77</v>
      </c>
      <c r="E57" s="31"/>
    </row>
    <row r="58" customFormat="false" ht="15" hidden="false" customHeight="true" outlineLevel="0" collapsed="false">
      <c r="A58" s="28" t="n">
        <v>47</v>
      </c>
      <c r="B58" s="29" t="n">
        <f aca="false">ROUND($B$6*(1+$B$7)^(A58-1),0)</f>
        <v>61958</v>
      </c>
      <c r="C58" s="29" t="n">
        <f aca="false">C57+B57</f>
        <v>412391</v>
      </c>
      <c r="D58" s="30" t="n">
        <f aca="false">B58/$B$12</f>
        <v>619.58</v>
      </c>
      <c r="E58" s="31"/>
    </row>
    <row r="59" customFormat="false" ht="15" hidden="false" customHeight="true" outlineLevel="0" collapsed="false">
      <c r="A59" s="28" t="n">
        <v>48</v>
      </c>
      <c r="B59" s="29" t="n">
        <f aca="false">ROUND($B$6*(1+$B$7)^(A59-1),0)</f>
        <v>71252</v>
      </c>
      <c r="C59" s="29" t="n">
        <f aca="false">C58+B58</f>
        <v>474349</v>
      </c>
      <c r="D59" s="30" t="n">
        <f aca="false">B59/$B$12</f>
        <v>712.52</v>
      </c>
      <c r="E59" s="31"/>
    </row>
    <row r="60" customFormat="false" ht="15" hidden="false" customHeight="true" outlineLevel="0" collapsed="false">
      <c r="A60" s="28" t="n">
        <v>49</v>
      </c>
      <c r="B60" s="29" t="n">
        <f aca="false">ROUND($B$6*(1+$B$7)^(A60-1),0)</f>
        <v>81940</v>
      </c>
      <c r="C60" s="29" t="n">
        <f aca="false">C59+B59</f>
        <v>545601</v>
      </c>
      <c r="D60" s="30" t="n">
        <f aca="false">B60/$B$12</f>
        <v>819.4</v>
      </c>
      <c r="E60" s="31"/>
    </row>
    <row r="61" customFormat="false" ht="15" hidden="false" customHeight="true" outlineLevel="0" collapsed="false">
      <c r="A61" s="32" t="n">
        <v>50</v>
      </c>
      <c r="B61" s="33" t="n">
        <f aca="false">ROUND($B$6*(1+$B$7)^(A61-1),0)</f>
        <v>94231</v>
      </c>
      <c r="C61" s="33" t="n">
        <f aca="false">C60+B60</f>
        <v>627541</v>
      </c>
      <c r="D61" s="34" t="n">
        <f aca="false">B61/$B$12</f>
        <v>942.31</v>
      </c>
      <c r="E61" s="35" t="s">
        <v>326</v>
      </c>
      <c r="F61" s="36"/>
    </row>
    <row r="62" customFormat="false" ht="15" hidden="false" customHeight="true" outlineLevel="0" collapsed="false">
      <c r="A62" s="28" t="n">
        <v>51</v>
      </c>
      <c r="B62" s="29" t="n">
        <f aca="false">ROUND($B$6*(1+$B$7)^(A62-1),0)</f>
        <v>108366</v>
      </c>
      <c r="C62" s="29" t="n">
        <f aca="false">C61+B61</f>
        <v>721772</v>
      </c>
      <c r="D62" s="30" t="n">
        <f aca="false">B62/$B$12</f>
        <v>1083.66</v>
      </c>
      <c r="E62" s="31"/>
    </row>
    <row r="63" customFormat="false" ht="15" hidden="false" customHeight="true" outlineLevel="0" collapsed="false">
      <c r="A63" s="28" t="n">
        <v>52</v>
      </c>
      <c r="B63" s="29" t="n">
        <f aca="false">ROUND($B$6*(1+$B$7)^(A63-1),0)</f>
        <v>124621</v>
      </c>
      <c r="C63" s="29" t="n">
        <f aca="false">C62+B62</f>
        <v>830138</v>
      </c>
      <c r="D63" s="30" t="n">
        <f aca="false">B63/$B$12</f>
        <v>1246.21</v>
      </c>
      <c r="E63" s="31"/>
    </row>
    <row r="64" customFormat="false" ht="15" hidden="false" customHeight="true" outlineLevel="0" collapsed="false">
      <c r="A64" s="28" t="n">
        <v>53</v>
      </c>
      <c r="B64" s="29" t="n">
        <f aca="false">ROUND($B$6*(1+$B$7)^(A64-1),0)</f>
        <v>143314</v>
      </c>
      <c r="C64" s="29" t="n">
        <f aca="false">C63+B63</f>
        <v>954759</v>
      </c>
      <c r="D64" s="30" t="n">
        <f aca="false">B64/$B$12</f>
        <v>1433.14</v>
      </c>
      <c r="E64" s="31"/>
    </row>
    <row r="65" customFormat="false" ht="15" hidden="false" customHeight="true" outlineLevel="0" collapsed="false">
      <c r="A65" s="28" t="n">
        <v>54</v>
      </c>
      <c r="B65" s="29" t="n">
        <f aca="false">ROUND($B$6*(1+$B$7)^(A65-1),0)</f>
        <v>164811</v>
      </c>
      <c r="C65" s="29" t="n">
        <f aca="false">C64+B64</f>
        <v>1098073</v>
      </c>
      <c r="D65" s="30" t="n">
        <f aca="false">B65/$B$12</f>
        <v>1648.11</v>
      </c>
      <c r="E65" s="31"/>
    </row>
    <row r="66" customFormat="false" ht="15" hidden="false" customHeight="true" outlineLevel="0" collapsed="false">
      <c r="A66" s="32" t="n">
        <v>55</v>
      </c>
      <c r="B66" s="33" t="n">
        <f aca="false">ROUND($B$6*(1+$B$7)^(A66-1),0)</f>
        <v>189532</v>
      </c>
      <c r="C66" s="33" t="n">
        <f aca="false">C65+B65</f>
        <v>1262884</v>
      </c>
      <c r="D66" s="34" t="n">
        <f aca="false">B66/$B$12</f>
        <v>1895.32</v>
      </c>
      <c r="E66" s="35"/>
      <c r="F66" s="36"/>
    </row>
    <row r="67" customFormat="false" ht="15" hidden="false" customHeight="true" outlineLevel="0" collapsed="false">
      <c r="A67" s="28" t="n">
        <v>56</v>
      </c>
      <c r="B67" s="29" t="n">
        <f aca="false">ROUND($B$6*(1+$B$7)^(A67-1),0)</f>
        <v>217962</v>
      </c>
      <c r="C67" s="29" t="n">
        <f aca="false">C66+B66</f>
        <v>1452416</v>
      </c>
      <c r="D67" s="30" t="n">
        <f aca="false">B67/$B$12</f>
        <v>2179.62</v>
      </c>
      <c r="E67" s="31"/>
    </row>
    <row r="68" customFormat="false" ht="15" hidden="false" customHeight="true" outlineLevel="0" collapsed="false">
      <c r="A68" s="28" t="n">
        <v>57</v>
      </c>
      <c r="B68" s="29" t="n">
        <f aca="false">ROUND($B$6*(1+$B$7)^(A68-1),0)</f>
        <v>250657</v>
      </c>
      <c r="C68" s="29" t="n">
        <f aca="false">C67+B67</f>
        <v>1670378</v>
      </c>
      <c r="D68" s="30" t="n">
        <f aca="false">B68/$B$12</f>
        <v>2506.57</v>
      </c>
      <c r="E68" s="31"/>
    </row>
    <row r="69" customFormat="false" ht="15" hidden="false" customHeight="true" outlineLevel="0" collapsed="false">
      <c r="A69" s="28" t="n">
        <v>58</v>
      </c>
      <c r="B69" s="29" t="n">
        <f aca="false">ROUND($B$6*(1+$B$7)^(A69-1),0)</f>
        <v>288255</v>
      </c>
      <c r="C69" s="29" t="n">
        <f aca="false">C68+B68</f>
        <v>1921035</v>
      </c>
      <c r="D69" s="30" t="n">
        <f aca="false">B69/$B$12</f>
        <v>2882.55</v>
      </c>
      <c r="E69" s="31"/>
    </row>
    <row r="70" customFormat="false" ht="15" hidden="false" customHeight="true" outlineLevel="0" collapsed="false">
      <c r="A70" s="28" t="n">
        <v>59</v>
      </c>
      <c r="B70" s="29" t="n">
        <f aca="false">ROUND($B$6*(1+$B$7)^(A70-1),0)</f>
        <v>331493</v>
      </c>
      <c r="C70" s="29" t="n">
        <f aca="false">C69+B69</f>
        <v>2209290</v>
      </c>
      <c r="D70" s="30" t="n">
        <f aca="false">B70/$B$12</f>
        <v>3314.93</v>
      </c>
      <c r="E70" s="31"/>
    </row>
    <row r="71" customFormat="false" ht="15" hidden="false" customHeight="true" outlineLevel="0" collapsed="false">
      <c r="A71" s="32" t="n">
        <v>60</v>
      </c>
      <c r="B71" s="37" t="s">
        <v>327</v>
      </c>
      <c r="C71" s="33" t="n">
        <f aca="false">C70+B70</f>
        <v>2540783</v>
      </c>
      <c r="D71" s="37" t="s">
        <v>327</v>
      </c>
      <c r="E71" s="35" t="s">
        <v>328</v>
      </c>
      <c r="F71" s="36"/>
    </row>
    <row r="73" customFormat="false" ht="21.75" hidden="false" customHeight="true" outlineLevel="0" collapsed="false">
      <c r="A73" s="9" t="s">
        <v>329</v>
      </c>
      <c r="B73" s="9"/>
      <c r="C73" s="9"/>
      <c r="D73" s="9"/>
      <c r="E73" s="9"/>
      <c r="F73" s="9"/>
    </row>
    <row r="74" customFormat="false" ht="15" hidden="false" customHeight="true" outlineLevel="0" collapsed="false">
      <c r="A74" s="38" t="s">
        <v>330</v>
      </c>
      <c r="B74" s="38"/>
      <c r="C74" s="29" t="n">
        <f aca="false">SUM(B12:B71)</f>
        <v>2540783</v>
      </c>
    </row>
  </sheetData>
  <mergeCells count="6">
    <mergeCell ref="A1:F1"/>
    <mergeCell ref="A2:F2"/>
    <mergeCell ref="A4:F4"/>
    <mergeCell ref="A10:F10"/>
    <mergeCell ref="A73:F73"/>
    <mergeCell ref="A74:B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11" min="3" style="1" width="14"/>
    <col collapsed="false" customWidth="true" hidden="false" outlineLevel="0" max="12" min="12" style="1" width="36"/>
  </cols>
  <sheetData>
    <row r="1" customFormat="false" ht="19.5" hidden="false" customHeight="true" outlineLevel="0" collapsed="false">
      <c r="A1" s="2" t="s">
        <v>331</v>
      </c>
      <c r="B1" s="2"/>
      <c r="C1" s="2"/>
      <c r="D1" s="2"/>
      <c r="E1" s="2"/>
      <c r="F1" s="2"/>
      <c r="G1" s="2"/>
      <c r="H1" s="2"/>
      <c r="I1" s="2"/>
      <c r="J1" s="2"/>
      <c r="K1" s="2"/>
      <c r="L1" s="2"/>
    </row>
    <row r="2" customFormat="false" ht="15" hidden="false" customHeight="true" outlineLevel="0" collapsed="false">
      <c r="A2" s="3" t="s">
        <v>332</v>
      </c>
      <c r="B2" s="3"/>
      <c r="C2" s="3"/>
      <c r="D2" s="3"/>
      <c r="E2" s="3"/>
      <c r="F2" s="3"/>
      <c r="G2" s="3"/>
      <c r="H2" s="3"/>
      <c r="I2" s="3"/>
      <c r="J2" s="3"/>
      <c r="K2" s="3"/>
      <c r="L2" s="3"/>
    </row>
    <row r="4" customFormat="false" ht="21.75" hidden="false" customHeight="true" outlineLevel="0" collapsed="false">
      <c r="A4" s="9" t="s">
        <v>333</v>
      </c>
      <c r="B4" s="9"/>
      <c r="C4" s="9"/>
      <c r="D4" s="9"/>
      <c r="E4" s="9"/>
      <c r="F4" s="9"/>
      <c r="G4" s="9"/>
      <c r="H4" s="9"/>
      <c r="I4" s="9"/>
      <c r="J4" s="9"/>
      <c r="K4" s="9"/>
      <c r="L4" s="9"/>
    </row>
    <row r="5" customFormat="false" ht="26.25" hidden="false" customHeight="true" outlineLevel="0" collapsed="false">
      <c r="A5" s="8" t="s">
        <v>334</v>
      </c>
      <c r="B5" s="8" t="s">
        <v>335</v>
      </c>
      <c r="C5" s="8" t="s">
        <v>336</v>
      </c>
      <c r="K5" s="39" t="s">
        <v>337</v>
      </c>
    </row>
    <row r="6" customFormat="false" ht="26.25" hidden="false" customHeight="true" outlineLevel="0" collapsed="false">
      <c r="A6" s="40" t="s">
        <v>338</v>
      </c>
      <c r="B6" s="41" t="s">
        <v>161</v>
      </c>
      <c r="C6" s="42" t="n">
        <f aca="false">Assumptions!$C$34</f>
        <v>1</v>
      </c>
      <c r="K6" s="43" t="s">
        <v>173</v>
      </c>
      <c r="L6" s="26" t="n">
        <f aca="false">Assumptions!$C$51</f>
        <v>8</v>
      </c>
    </row>
    <row r="7" customFormat="false" ht="26.25" hidden="false" customHeight="true" outlineLevel="0" collapsed="false">
      <c r="A7" s="40" t="s">
        <v>338</v>
      </c>
      <c r="B7" s="41" t="s">
        <v>168</v>
      </c>
      <c r="C7" s="27" t="n">
        <f aca="false">Assumptions!$C$35</f>
        <v>0.2</v>
      </c>
      <c r="K7" s="43" t="s">
        <v>176</v>
      </c>
      <c r="L7" s="44" t="n">
        <f aca="false">Assumptions!$C$52</f>
        <v>1.5</v>
      </c>
    </row>
    <row r="8" customFormat="false" ht="26.25" hidden="false" customHeight="true" outlineLevel="0" collapsed="false">
      <c r="A8" s="40" t="s">
        <v>338</v>
      </c>
      <c r="B8" s="41" t="s">
        <v>339</v>
      </c>
      <c r="C8" s="27" t="n">
        <f aca="false">Assumptions!$C$36</f>
        <v>0.05</v>
      </c>
      <c r="K8" s="43" t="s">
        <v>178</v>
      </c>
      <c r="L8" s="26" t="n">
        <f aca="false">Assumptions!$C$53</f>
        <v>6</v>
      </c>
    </row>
    <row r="9" customFormat="false" ht="15" hidden="false" customHeight="true" outlineLevel="0" collapsed="false">
      <c r="A9" s="40" t="s">
        <v>340</v>
      </c>
      <c r="B9" s="41" t="s">
        <v>168</v>
      </c>
      <c r="C9" s="27" t="n">
        <f aca="false">Assumptions!$C$37</f>
        <v>0.65</v>
      </c>
      <c r="K9" s="43" t="s">
        <v>88</v>
      </c>
      <c r="L9" s="26" t="n">
        <f aca="false">Assumptions!$C$9</f>
        <v>6</v>
      </c>
    </row>
    <row r="10" customFormat="false" ht="15" hidden="false" customHeight="true" outlineLevel="0" collapsed="false">
      <c r="A10" s="40" t="s">
        <v>340</v>
      </c>
      <c r="B10" s="41" t="s">
        <v>339</v>
      </c>
      <c r="C10" s="27" t="n">
        <f aca="false">Assumptions!$C$38</f>
        <v>0.3</v>
      </c>
    </row>
    <row r="11" customFormat="false" ht="15" hidden="false" customHeight="true" outlineLevel="0" collapsed="false">
      <c r="A11" s="40" t="s">
        <v>340</v>
      </c>
      <c r="B11" s="41" t="s">
        <v>341</v>
      </c>
      <c r="C11" s="27" t="n">
        <f aca="false">Assumptions!$C$39</f>
        <v>0.1</v>
      </c>
    </row>
    <row r="12" customFormat="false" ht="27.75" hidden="false" customHeight="true" outlineLevel="0" collapsed="false">
      <c r="A12" s="40" t="s">
        <v>342</v>
      </c>
      <c r="B12" s="41" t="s">
        <v>343</v>
      </c>
      <c r="C12" s="42" t="n">
        <f aca="false">Assumptions!$C$40</f>
        <v>1</v>
      </c>
    </row>
    <row r="13" customFormat="false" ht="15" hidden="false" customHeight="true" outlineLevel="0" collapsed="false">
      <c r="A13" s="40" t="s">
        <v>342</v>
      </c>
      <c r="B13" s="41" t="s">
        <v>341</v>
      </c>
      <c r="C13" s="27" t="n">
        <f aca="false">Assumptions!$C$41</f>
        <v>0.6</v>
      </c>
    </row>
    <row r="14" customFormat="false" ht="15" hidden="false" customHeight="true" outlineLevel="0" collapsed="false">
      <c r="A14" s="40" t="s">
        <v>342</v>
      </c>
      <c r="B14" s="41" t="s">
        <v>344</v>
      </c>
      <c r="C14" s="27" t="n">
        <f aca="false">Assumptions!$C$42</f>
        <v>0.15</v>
      </c>
    </row>
    <row r="17" customFormat="false" ht="21.75" hidden="false" customHeight="true" outlineLevel="0" collapsed="false">
      <c r="A17" s="9" t="s">
        <v>345</v>
      </c>
      <c r="B17" s="9"/>
      <c r="C17" s="9"/>
      <c r="D17" s="9"/>
      <c r="E17" s="9"/>
      <c r="F17" s="9"/>
      <c r="G17" s="9"/>
      <c r="H17" s="9"/>
      <c r="I17" s="9"/>
      <c r="J17" s="9"/>
      <c r="K17" s="9"/>
      <c r="L17" s="9"/>
    </row>
    <row r="18" customFormat="false" ht="27.75" hidden="false" customHeight="true" outlineLevel="0" collapsed="false">
      <c r="A18" s="8" t="s">
        <v>291</v>
      </c>
      <c r="B18" s="8" t="s">
        <v>346</v>
      </c>
      <c r="C18" s="8" t="s">
        <v>347</v>
      </c>
      <c r="D18" s="8" t="s">
        <v>348</v>
      </c>
      <c r="E18" s="8" t="s">
        <v>349</v>
      </c>
      <c r="F18" s="8" t="s">
        <v>350</v>
      </c>
      <c r="G18" s="8" t="s">
        <v>351</v>
      </c>
      <c r="H18" s="8" t="s">
        <v>352</v>
      </c>
      <c r="I18" s="8" t="s">
        <v>353</v>
      </c>
      <c r="J18" s="8" t="s">
        <v>354</v>
      </c>
      <c r="K18" s="8"/>
      <c r="L18" s="8" t="s">
        <v>297</v>
      </c>
    </row>
    <row r="19" customFormat="false" ht="15" hidden="false" customHeight="true" outlineLevel="0" collapsed="false">
      <c r="A19" s="28" t="n">
        <v>1</v>
      </c>
      <c r="B19" s="29" t="n">
        <f aca="false">CEILING(A19/$L$9,1)</f>
        <v>1</v>
      </c>
      <c r="C19" s="45" t="n">
        <f aca="false">IF(MOD(A19,$L$8)=0,$L$6*0.5,$L$6)</f>
        <v>8</v>
      </c>
      <c r="D19" s="45" t="n">
        <f aca="false">IF(MOD(A19,$L$8)=0,0,$L$7)</f>
        <v>1.5</v>
      </c>
      <c r="E19" s="45" t="n">
        <f aca="false">C19*$C$6+D19+IF(MOD(A19,$L$8)=0,1,0)</f>
        <v>9.5</v>
      </c>
      <c r="F19" s="45" t="n">
        <f aca="false">C19*$C$7+D19*$C$9+IF(MOD(A19,$L$8)=0,1,0)*$C$12</f>
        <v>2.575</v>
      </c>
      <c r="G19" s="30" t="n">
        <f aca="false">C19*$C$8+D19*$C$10</f>
        <v>0.85</v>
      </c>
      <c r="H19" s="30" t="n">
        <f aca="false">D19*$C$11+IF(MOD(A19,$L$8)=0,1,0)*$C$13</f>
        <v>0.15</v>
      </c>
      <c r="I19" s="30" t="n">
        <f aca="false">IF(MOD(A19,$L$8)=0,1,0)*$C$14</f>
        <v>0</v>
      </c>
      <c r="J19" s="46" t="str">
        <f aca="false">IF(MOD(A19,$L$8)=0,"Yes","")</f>
        <v/>
      </c>
      <c r="L19" s="31" t="s">
        <v>355</v>
      </c>
    </row>
    <row r="20" customFormat="false" ht="15" hidden="false" customHeight="true" outlineLevel="0" collapsed="false">
      <c r="A20" s="32" t="n">
        <v>2</v>
      </c>
      <c r="B20" s="33" t="n">
        <f aca="false">CEILING(A20/$L$9,1)</f>
        <v>1</v>
      </c>
      <c r="C20" s="47" t="n">
        <f aca="false">IF(MOD(A20,$L$8)=0,$L$6*0.5,$L$6)</f>
        <v>8</v>
      </c>
      <c r="D20" s="47" t="n">
        <f aca="false">IF(MOD(A20,$L$8)=0,0,$L$7)</f>
        <v>1.5</v>
      </c>
      <c r="E20" s="47" t="n">
        <f aca="false">C20*$C$6+D20+IF(MOD(A20,$L$8)=0,1,0)</f>
        <v>9.5</v>
      </c>
      <c r="F20" s="47" t="n">
        <f aca="false">C20*$C$7+D20*$C$9+IF(MOD(A20,$L$8)=0,1,0)*$C$12</f>
        <v>2.575</v>
      </c>
      <c r="G20" s="34" t="n">
        <f aca="false">C20*$C$8+D20*$C$10</f>
        <v>0.85</v>
      </c>
      <c r="H20" s="34" t="n">
        <f aca="false">D20*$C$11+IF(MOD(A20,$L$8)=0,1,0)*$C$13</f>
        <v>0.15</v>
      </c>
      <c r="I20" s="34" t="n">
        <f aca="false">IF(MOD(A20,$L$8)=0,1,0)*$C$14</f>
        <v>0</v>
      </c>
      <c r="J20" s="48" t="str">
        <f aca="false">IF(MOD(A20,$L$8)=0,"Yes","")</f>
        <v/>
      </c>
      <c r="K20" s="36"/>
      <c r="L20" s="35"/>
    </row>
    <row r="21" customFormat="false" ht="15" hidden="false" customHeight="true" outlineLevel="0" collapsed="false">
      <c r="A21" s="28" t="n">
        <v>3</v>
      </c>
      <c r="B21" s="29" t="n">
        <f aca="false">CEILING(A21/$L$9,1)</f>
        <v>1</v>
      </c>
      <c r="C21" s="45" t="n">
        <f aca="false">IF(MOD(A21,$L$8)=0,$L$6*0.5,$L$6)</f>
        <v>8</v>
      </c>
      <c r="D21" s="45" t="n">
        <f aca="false">IF(MOD(A21,$L$8)=0,0,$L$7)</f>
        <v>1.5</v>
      </c>
      <c r="E21" s="45" t="n">
        <f aca="false">C21*$C$6+D21+IF(MOD(A21,$L$8)=0,1,0)</f>
        <v>9.5</v>
      </c>
      <c r="F21" s="45" t="n">
        <f aca="false">C21*$C$7+D21*$C$9+IF(MOD(A21,$L$8)=0,1,0)*$C$12</f>
        <v>2.575</v>
      </c>
      <c r="G21" s="30" t="n">
        <f aca="false">C21*$C$8+D21*$C$10</f>
        <v>0.85</v>
      </c>
      <c r="H21" s="30" t="n">
        <f aca="false">D21*$C$11+IF(MOD(A21,$L$8)=0,1,0)*$C$13</f>
        <v>0.15</v>
      </c>
      <c r="I21" s="30" t="n">
        <f aca="false">IF(MOD(A21,$L$8)=0,1,0)*$C$14</f>
        <v>0</v>
      </c>
      <c r="J21" s="46" t="str">
        <f aca="false">IF(MOD(A21,$L$8)=0,"Yes","")</f>
        <v/>
      </c>
      <c r="L21" s="31"/>
    </row>
    <row r="22" customFormat="false" ht="15" hidden="false" customHeight="true" outlineLevel="0" collapsed="false">
      <c r="A22" s="32" t="n">
        <v>4</v>
      </c>
      <c r="B22" s="33" t="n">
        <f aca="false">CEILING(A22/$L$9,1)</f>
        <v>1</v>
      </c>
      <c r="C22" s="47" t="n">
        <f aca="false">IF(MOD(A22,$L$8)=0,$L$6*0.5,$L$6)</f>
        <v>8</v>
      </c>
      <c r="D22" s="47" t="n">
        <f aca="false">IF(MOD(A22,$L$8)=0,0,$L$7)</f>
        <v>1.5</v>
      </c>
      <c r="E22" s="47" t="n">
        <f aca="false">C22*$C$6+D22+IF(MOD(A22,$L$8)=0,1,0)</f>
        <v>9.5</v>
      </c>
      <c r="F22" s="47" t="n">
        <f aca="false">C22*$C$7+D22*$C$9+IF(MOD(A22,$L$8)=0,1,0)*$C$12</f>
        <v>2.575</v>
      </c>
      <c r="G22" s="34" t="n">
        <f aca="false">C22*$C$8+D22*$C$10</f>
        <v>0.85</v>
      </c>
      <c r="H22" s="34" t="n">
        <f aca="false">D22*$C$11+IF(MOD(A22,$L$8)=0,1,0)*$C$13</f>
        <v>0.15</v>
      </c>
      <c r="I22" s="34" t="n">
        <f aca="false">IF(MOD(A22,$L$8)=0,1,0)*$C$14</f>
        <v>0</v>
      </c>
      <c r="J22" s="48" t="str">
        <f aca="false">IF(MOD(A22,$L$8)=0,"Yes","")</f>
        <v/>
      </c>
      <c r="K22" s="36"/>
      <c r="L22" s="35"/>
    </row>
    <row r="23" customFormat="false" ht="15" hidden="false" customHeight="true" outlineLevel="0" collapsed="false">
      <c r="A23" s="28" t="n">
        <v>5</v>
      </c>
      <c r="B23" s="29" t="n">
        <f aca="false">CEILING(A23/$L$9,1)</f>
        <v>1</v>
      </c>
      <c r="C23" s="45" t="n">
        <f aca="false">IF(MOD(A23,$L$8)=0,$L$6*0.5,$L$6)</f>
        <v>8</v>
      </c>
      <c r="D23" s="45" t="n">
        <f aca="false">IF(MOD(A23,$L$8)=0,0,$L$7)</f>
        <v>1.5</v>
      </c>
      <c r="E23" s="45" t="n">
        <f aca="false">C23*$C$6+D23+IF(MOD(A23,$L$8)=0,1,0)</f>
        <v>9.5</v>
      </c>
      <c r="F23" s="45" t="n">
        <f aca="false">C23*$C$7+D23*$C$9+IF(MOD(A23,$L$8)=0,1,0)*$C$12</f>
        <v>2.575</v>
      </c>
      <c r="G23" s="30" t="n">
        <f aca="false">C23*$C$8+D23*$C$10</f>
        <v>0.85</v>
      </c>
      <c r="H23" s="30" t="n">
        <f aca="false">D23*$C$11+IF(MOD(A23,$L$8)=0,1,0)*$C$13</f>
        <v>0.15</v>
      </c>
      <c r="I23" s="30" t="n">
        <f aca="false">IF(MOD(A23,$L$8)=0,1,0)*$C$14</f>
        <v>0</v>
      </c>
      <c r="J23" s="46" t="str">
        <f aca="false">IF(MOD(A23,$L$8)=0,"Yes","")</f>
        <v/>
      </c>
      <c r="L23" s="31"/>
    </row>
    <row r="24" customFormat="false" ht="15" hidden="false" customHeight="true" outlineLevel="0" collapsed="false">
      <c r="A24" s="32" t="n">
        <v>6</v>
      </c>
      <c r="B24" s="33" t="n">
        <f aca="false">CEILING(A24/$L$9,1)</f>
        <v>1</v>
      </c>
      <c r="C24" s="47" t="n">
        <f aca="false">IF(MOD(A24,$L$8)=0,$L$6*0.5,$L$6)</f>
        <v>4</v>
      </c>
      <c r="D24" s="47" t="n">
        <f aca="false">IF(MOD(A24,$L$8)=0,0,$L$7)</f>
        <v>0</v>
      </c>
      <c r="E24" s="47" t="n">
        <f aca="false">C24*$C$6+D24+IF(MOD(A24,$L$8)=0,1,0)</f>
        <v>5</v>
      </c>
      <c r="F24" s="47" t="n">
        <f aca="false">C24*$C$7+D24*$C$9+IF(MOD(A24,$L$8)=0,1,0)*$C$12</f>
        <v>1.8</v>
      </c>
      <c r="G24" s="34" t="n">
        <f aca="false">C24*$C$8+D24*$C$10</f>
        <v>0.2</v>
      </c>
      <c r="H24" s="34" t="n">
        <f aca="false">D24*$C$11+IF(MOD(A24,$L$8)=0,1,0)*$C$13</f>
        <v>0.6</v>
      </c>
      <c r="I24" s="34" t="n">
        <f aca="false">IF(MOD(A24,$L$8)=0,1,0)*$C$14</f>
        <v>0.15</v>
      </c>
      <c r="J24" s="48" t="str">
        <f aca="false">IF(MOD(A24,$L$8)=0,"Yes","")</f>
        <v>Yes</v>
      </c>
      <c r="K24" s="36"/>
      <c r="L24" s="35" t="s">
        <v>356</v>
      </c>
    </row>
    <row r="25" customFormat="false" ht="15" hidden="false" customHeight="true" outlineLevel="0" collapsed="false">
      <c r="A25" s="28" t="n">
        <v>7</v>
      </c>
      <c r="B25" s="29" t="n">
        <f aca="false">CEILING(A25/$L$9,1)</f>
        <v>2</v>
      </c>
      <c r="C25" s="45" t="n">
        <f aca="false">IF(MOD(A25,$L$8)=0,$L$6*0.5,$L$6)</f>
        <v>8</v>
      </c>
      <c r="D25" s="45" t="n">
        <f aca="false">IF(MOD(A25,$L$8)=0,0,$L$7)</f>
        <v>1.5</v>
      </c>
      <c r="E25" s="45" t="n">
        <f aca="false">C25*$C$6+D25+IF(MOD(A25,$L$8)=0,1,0)</f>
        <v>9.5</v>
      </c>
      <c r="F25" s="45" t="n">
        <f aca="false">C25*$C$7+D25*$C$9+IF(MOD(A25,$L$8)=0,1,0)*$C$12</f>
        <v>2.575</v>
      </c>
      <c r="G25" s="30" t="n">
        <f aca="false">C25*$C$8+D25*$C$10</f>
        <v>0.85</v>
      </c>
      <c r="H25" s="30" t="n">
        <f aca="false">D25*$C$11+IF(MOD(A25,$L$8)=0,1,0)*$C$13</f>
        <v>0.15</v>
      </c>
      <c r="I25" s="30" t="n">
        <f aca="false">IF(MOD(A25,$L$8)=0,1,0)*$C$14</f>
        <v>0</v>
      </c>
      <c r="J25" s="46" t="str">
        <f aca="false">IF(MOD(A25,$L$8)=0,"Yes","")</f>
        <v/>
      </c>
      <c r="L25" s="31"/>
    </row>
    <row r="26" customFormat="false" ht="15" hidden="false" customHeight="true" outlineLevel="0" collapsed="false">
      <c r="A26" s="32" t="n">
        <v>8</v>
      </c>
      <c r="B26" s="33" t="n">
        <f aca="false">CEILING(A26/$L$9,1)</f>
        <v>2</v>
      </c>
      <c r="C26" s="47" t="n">
        <f aca="false">IF(MOD(A26,$L$8)=0,$L$6*0.5,$L$6)</f>
        <v>8</v>
      </c>
      <c r="D26" s="47" t="n">
        <f aca="false">IF(MOD(A26,$L$8)=0,0,$L$7)</f>
        <v>1.5</v>
      </c>
      <c r="E26" s="47" t="n">
        <f aca="false">C26*$C$6+D26+IF(MOD(A26,$L$8)=0,1,0)</f>
        <v>9.5</v>
      </c>
      <c r="F26" s="47" t="n">
        <f aca="false">C26*$C$7+D26*$C$9+IF(MOD(A26,$L$8)=0,1,0)*$C$12</f>
        <v>2.575</v>
      </c>
      <c r="G26" s="34" t="n">
        <f aca="false">C26*$C$8+D26*$C$10</f>
        <v>0.85</v>
      </c>
      <c r="H26" s="34" t="n">
        <f aca="false">D26*$C$11+IF(MOD(A26,$L$8)=0,1,0)*$C$13</f>
        <v>0.15</v>
      </c>
      <c r="I26" s="34" t="n">
        <f aca="false">IF(MOD(A26,$L$8)=0,1,0)*$C$14</f>
        <v>0</v>
      </c>
      <c r="J26" s="48" t="str">
        <f aca="false">IF(MOD(A26,$L$8)=0,"Yes","")</f>
        <v/>
      </c>
      <c r="K26" s="36"/>
      <c r="L26" s="35"/>
    </row>
    <row r="27" customFormat="false" ht="15" hidden="false" customHeight="true" outlineLevel="0" collapsed="false">
      <c r="A27" s="28" t="n">
        <v>9</v>
      </c>
      <c r="B27" s="29" t="n">
        <f aca="false">CEILING(A27/$L$9,1)</f>
        <v>2</v>
      </c>
      <c r="C27" s="45" t="n">
        <f aca="false">IF(MOD(A27,$L$8)=0,$L$6*0.5,$L$6)</f>
        <v>8</v>
      </c>
      <c r="D27" s="45" t="n">
        <f aca="false">IF(MOD(A27,$L$8)=0,0,$L$7)</f>
        <v>1.5</v>
      </c>
      <c r="E27" s="45" t="n">
        <f aca="false">C27*$C$6+D27+IF(MOD(A27,$L$8)=0,1,0)</f>
        <v>9.5</v>
      </c>
      <c r="F27" s="45" t="n">
        <f aca="false">C27*$C$7+D27*$C$9+IF(MOD(A27,$L$8)=0,1,0)*$C$12</f>
        <v>2.575</v>
      </c>
      <c r="G27" s="30" t="n">
        <f aca="false">C27*$C$8+D27*$C$10</f>
        <v>0.85</v>
      </c>
      <c r="H27" s="30" t="n">
        <f aca="false">D27*$C$11+IF(MOD(A27,$L$8)=0,1,0)*$C$13</f>
        <v>0.15</v>
      </c>
      <c r="I27" s="30" t="n">
        <f aca="false">IF(MOD(A27,$L$8)=0,1,0)*$C$14</f>
        <v>0</v>
      </c>
      <c r="J27" s="46" t="str">
        <f aca="false">IF(MOD(A27,$L$8)=0,"Yes","")</f>
        <v/>
      </c>
      <c r="L27" s="31"/>
    </row>
    <row r="28" customFormat="false" ht="15" hidden="false" customHeight="true" outlineLevel="0" collapsed="false">
      <c r="A28" s="32" t="n">
        <v>10</v>
      </c>
      <c r="B28" s="33" t="n">
        <f aca="false">CEILING(A28/$L$9,1)</f>
        <v>2</v>
      </c>
      <c r="C28" s="47" t="n">
        <f aca="false">IF(MOD(A28,$L$8)=0,$L$6*0.5,$L$6)</f>
        <v>8</v>
      </c>
      <c r="D28" s="47" t="n">
        <f aca="false">IF(MOD(A28,$L$8)=0,0,$L$7)</f>
        <v>1.5</v>
      </c>
      <c r="E28" s="47" t="n">
        <f aca="false">C28*$C$6+D28+IF(MOD(A28,$L$8)=0,1,0)</f>
        <v>9.5</v>
      </c>
      <c r="F28" s="47" t="n">
        <f aca="false">C28*$C$7+D28*$C$9+IF(MOD(A28,$L$8)=0,1,0)*$C$12</f>
        <v>2.575</v>
      </c>
      <c r="G28" s="34" t="n">
        <f aca="false">C28*$C$8+D28*$C$10</f>
        <v>0.85</v>
      </c>
      <c r="H28" s="34" t="n">
        <f aca="false">D28*$C$11+IF(MOD(A28,$L$8)=0,1,0)*$C$13</f>
        <v>0.15</v>
      </c>
      <c r="I28" s="34" t="n">
        <f aca="false">IF(MOD(A28,$L$8)=0,1,0)*$C$14</f>
        <v>0</v>
      </c>
      <c r="J28" s="48" t="str">
        <f aca="false">IF(MOD(A28,$L$8)=0,"Yes","")</f>
        <v/>
      </c>
      <c r="K28" s="36"/>
      <c r="L28" s="35"/>
    </row>
    <row r="29" customFormat="false" ht="15" hidden="false" customHeight="true" outlineLevel="0" collapsed="false">
      <c r="A29" s="28" t="n">
        <v>11</v>
      </c>
      <c r="B29" s="29" t="n">
        <f aca="false">CEILING(A29/$L$9,1)</f>
        <v>2</v>
      </c>
      <c r="C29" s="45" t="n">
        <f aca="false">IF(MOD(A29,$L$8)=0,$L$6*0.5,$L$6)</f>
        <v>8</v>
      </c>
      <c r="D29" s="45" t="n">
        <f aca="false">IF(MOD(A29,$L$8)=0,0,$L$7)</f>
        <v>1.5</v>
      </c>
      <c r="E29" s="45" t="n">
        <f aca="false">C29*$C$6+D29+IF(MOD(A29,$L$8)=0,1,0)</f>
        <v>9.5</v>
      </c>
      <c r="F29" s="45" t="n">
        <f aca="false">C29*$C$7+D29*$C$9+IF(MOD(A29,$L$8)=0,1,0)*$C$12</f>
        <v>2.575</v>
      </c>
      <c r="G29" s="30" t="n">
        <f aca="false">C29*$C$8+D29*$C$10</f>
        <v>0.85</v>
      </c>
      <c r="H29" s="30" t="n">
        <f aca="false">D29*$C$11+IF(MOD(A29,$L$8)=0,1,0)*$C$13</f>
        <v>0.15</v>
      </c>
      <c r="I29" s="30" t="n">
        <f aca="false">IF(MOD(A29,$L$8)=0,1,0)*$C$14</f>
        <v>0</v>
      </c>
      <c r="J29" s="46" t="str">
        <f aca="false">IF(MOD(A29,$L$8)=0,"Yes","")</f>
        <v/>
      </c>
      <c r="L29" s="31"/>
    </row>
    <row r="30" customFormat="false" ht="15" hidden="false" customHeight="true" outlineLevel="0" collapsed="false">
      <c r="A30" s="32" t="n">
        <v>12</v>
      </c>
      <c r="B30" s="33" t="n">
        <f aca="false">CEILING(A30/$L$9,1)</f>
        <v>2</v>
      </c>
      <c r="C30" s="47" t="n">
        <f aca="false">IF(MOD(A30,$L$8)=0,$L$6*0.5,$L$6)</f>
        <v>4</v>
      </c>
      <c r="D30" s="47" t="n">
        <f aca="false">IF(MOD(A30,$L$8)=0,0,$L$7)</f>
        <v>0</v>
      </c>
      <c r="E30" s="47" t="n">
        <f aca="false">C30*$C$6+D30+IF(MOD(A30,$L$8)=0,1,0)</f>
        <v>5</v>
      </c>
      <c r="F30" s="47" t="n">
        <f aca="false">C30*$C$7+D30*$C$9+IF(MOD(A30,$L$8)=0,1,0)*$C$12</f>
        <v>1.8</v>
      </c>
      <c r="G30" s="34" t="n">
        <f aca="false">C30*$C$8+D30*$C$10</f>
        <v>0.2</v>
      </c>
      <c r="H30" s="34" t="n">
        <f aca="false">D30*$C$11+IF(MOD(A30,$L$8)=0,1,0)*$C$13</f>
        <v>0.6</v>
      </c>
      <c r="I30" s="34" t="n">
        <f aca="false">IF(MOD(A30,$L$8)=0,1,0)*$C$14</f>
        <v>0.15</v>
      </c>
      <c r="J30" s="48" t="str">
        <f aca="false">IF(MOD(A30,$L$8)=0,"Yes","")</f>
        <v>Yes</v>
      </c>
      <c r="K30" s="36"/>
      <c r="L30" s="35" t="s">
        <v>357</v>
      </c>
    </row>
    <row r="31" customFormat="false" ht="15" hidden="false" customHeight="true" outlineLevel="0" collapsed="false">
      <c r="A31" s="28" t="n">
        <v>13</v>
      </c>
      <c r="B31" s="29" t="n">
        <f aca="false">CEILING(A31/$L$9,1)</f>
        <v>3</v>
      </c>
      <c r="C31" s="45" t="n">
        <f aca="false">IF(MOD(A31,$L$8)=0,$L$6*0.5,$L$6)</f>
        <v>8</v>
      </c>
      <c r="D31" s="45" t="n">
        <f aca="false">IF(MOD(A31,$L$8)=0,0,$L$7)</f>
        <v>1.5</v>
      </c>
      <c r="E31" s="45" t="n">
        <f aca="false">C31*$C$6+D31+IF(MOD(A31,$L$8)=0,1,0)</f>
        <v>9.5</v>
      </c>
      <c r="F31" s="45" t="n">
        <f aca="false">C31*$C$7+D31*$C$9+IF(MOD(A31,$L$8)=0,1,0)*$C$12</f>
        <v>2.575</v>
      </c>
      <c r="G31" s="30" t="n">
        <f aca="false">C31*$C$8+D31*$C$10</f>
        <v>0.85</v>
      </c>
      <c r="H31" s="30" t="n">
        <f aca="false">D31*$C$11+IF(MOD(A31,$L$8)=0,1,0)*$C$13</f>
        <v>0.15</v>
      </c>
      <c r="I31" s="30" t="n">
        <f aca="false">IF(MOD(A31,$L$8)=0,1,0)*$C$14</f>
        <v>0</v>
      </c>
      <c r="J31" s="46" t="str">
        <f aca="false">IF(MOD(A31,$L$8)=0,"Yes","")</f>
        <v/>
      </c>
      <c r="L31" s="31"/>
    </row>
    <row r="32" customFormat="false" ht="15" hidden="false" customHeight="true" outlineLevel="0" collapsed="false">
      <c r="A32" s="32" t="n">
        <v>14</v>
      </c>
      <c r="B32" s="33" t="n">
        <f aca="false">CEILING(A32/$L$9,1)</f>
        <v>3</v>
      </c>
      <c r="C32" s="47" t="n">
        <f aca="false">IF(MOD(A32,$L$8)=0,$L$6*0.5,$L$6)</f>
        <v>8</v>
      </c>
      <c r="D32" s="47" t="n">
        <f aca="false">IF(MOD(A32,$L$8)=0,0,$L$7)</f>
        <v>1.5</v>
      </c>
      <c r="E32" s="47" t="n">
        <f aca="false">C32*$C$6+D32+IF(MOD(A32,$L$8)=0,1,0)</f>
        <v>9.5</v>
      </c>
      <c r="F32" s="47" t="n">
        <f aca="false">C32*$C$7+D32*$C$9+IF(MOD(A32,$L$8)=0,1,0)*$C$12</f>
        <v>2.575</v>
      </c>
      <c r="G32" s="34" t="n">
        <f aca="false">C32*$C$8+D32*$C$10</f>
        <v>0.85</v>
      </c>
      <c r="H32" s="34" t="n">
        <f aca="false">D32*$C$11+IF(MOD(A32,$L$8)=0,1,0)*$C$13</f>
        <v>0.15</v>
      </c>
      <c r="I32" s="34" t="n">
        <f aca="false">IF(MOD(A32,$L$8)=0,1,0)*$C$14</f>
        <v>0</v>
      </c>
      <c r="J32" s="48" t="str">
        <f aca="false">IF(MOD(A32,$L$8)=0,"Yes","")</f>
        <v/>
      </c>
      <c r="K32" s="36"/>
      <c r="L32" s="35"/>
    </row>
    <row r="33" customFormat="false" ht="15" hidden="false" customHeight="true" outlineLevel="0" collapsed="false">
      <c r="A33" s="28" t="n">
        <v>15</v>
      </c>
      <c r="B33" s="29" t="n">
        <f aca="false">CEILING(A33/$L$9,1)</f>
        <v>3</v>
      </c>
      <c r="C33" s="45" t="n">
        <f aca="false">IF(MOD(A33,$L$8)=0,$L$6*0.5,$L$6)</f>
        <v>8</v>
      </c>
      <c r="D33" s="45" t="n">
        <f aca="false">IF(MOD(A33,$L$8)=0,0,$L$7)</f>
        <v>1.5</v>
      </c>
      <c r="E33" s="45" t="n">
        <f aca="false">C33*$C$6+D33+IF(MOD(A33,$L$8)=0,1,0)</f>
        <v>9.5</v>
      </c>
      <c r="F33" s="45" t="n">
        <f aca="false">C33*$C$7+D33*$C$9+IF(MOD(A33,$L$8)=0,1,0)*$C$12</f>
        <v>2.575</v>
      </c>
      <c r="G33" s="30" t="n">
        <f aca="false">C33*$C$8+D33*$C$10</f>
        <v>0.85</v>
      </c>
      <c r="H33" s="30" t="n">
        <f aca="false">D33*$C$11+IF(MOD(A33,$L$8)=0,1,0)*$C$13</f>
        <v>0.15</v>
      </c>
      <c r="I33" s="30" t="n">
        <f aca="false">IF(MOD(A33,$L$8)=0,1,0)*$C$14</f>
        <v>0</v>
      </c>
      <c r="J33" s="46" t="str">
        <f aca="false">IF(MOD(A33,$L$8)=0,"Yes","")</f>
        <v/>
      </c>
      <c r="L33" s="31"/>
    </row>
    <row r="34" customFormat="false" ht="15" hidden="false" customHeight="true" outlineLevel="0" collapsed="false">
      <c r="A34" s="32" t="n">
        <v>16</v>
      </c>
      <c r="B34" s="33" t="n">
        <f aca="false">CEILING(A34/$L$9,1)</f>
        <v>3</v>
      </c>
      <c r="C34" s="47" t="n">
        <f aca="false">IF(MOD(A34,$L$8)=0,$L$6*0.5,$L$6)</f>
        <v>8</v>
      </c>
      <c r="D34" s="47" t="n">
        <f aca="false">IF(MOD(A34,$L$8)=0,0,$L$7)</f>
        <v>1.5</v>
      </c>
      <c r="E34" s="47" t="n">
        <f aca="false">C34*$C$6+D34+IF(MOD(A34,$L$8)=0,1,0)</f>
        <v>9.5</v>
      </c>
      <c r="F34" s="47" t="n">
        <f aca="false">C34*$C$7+D34*$C$9+IF(MOD(A34,$L$8)=0,1,0)*$C$12</f>
        <v>2.575</v>
      </c>
      <c r="G34" s="34" t="n">
        <f aca="false">C34*$C$8+D34*$C$10</f>
        <v>0.85</v>
      </c>
      <c r="H34" s="34" t="n">
        <f aca="false">D34*$C$11+IF(MOD(A34,$L$8)=0,1,0)*$C$13</f>
        <v>0.15</v>
      </c>
      <c r="I34" s="34" t="n">
        <f aca="false">IF(MOD(A34,$L$8)=0,1,0)*$C$14</f>
        <v>0</v>
      </c>
      <c r="J34" s="48" t="str">
        <f aca="false">IF(MOD(A34,$L$8)=0,"Yes","")</f>
        <v/>
      </c>
      <c r="K34" s="36"/>
      <c r="L34" s="35"/>
    </row>
    <row r="35" customFormat="false" ht="15" hidden="false" customHeight="true" outlineLevel="0" collapsed="false">
      <c r="A35" s="28" t="n">
        <v>17</v>
      </c>
      <c r="B35" s="29" t="n">
        <f aca="false">CEILING(A35/$L$9,1)</f>
        <v>3</v>
      </c>
      <c r="C35" s="45" t="n">
        <f aca="false">IF(MOD(A35,$L$8)=0,$L$6*0.5,$L$6)</f>
        <v>8</v>
      </c>
      <c r="D35" s="45" t="n">
        <f aca="false">IF(MOD(A35,$L$8)=0,0,$L$7)</f>
        <v>1.5</v>
      </c>
      <c r="E35" s="45" t="n">
        <f aca="false">C35*$C$6+D35+IF(MOD(A35,$L$8)=0,1,0)</f>
        <v>9.5</v>
      </c>
      <c r="F35" s="45" t="n">
        <f aca="false">C35*$C$7+D35*$C$9+IF(MOD(A35,$L$8)=0,1,0)*$C$12</f>
        <v>2.575</v>
      </c>
      <c r="G35" s="30" t="n">
        <f aca="false">C35*$C$8+D35*$C$10</f>
        <v>0.85</v>
      </c>
      <c r="H35" s="30" t="n">
        <f aca="false">D35*$C$11+IF(MOD(A35,$L$8)=0,1,0)*$C$13</f>
        <v>0.15</v>
      </c>
      <c r="I35" s="30" t="n">
        <f aca="false">IF(MOD(A35,$L$8)=0,1,0)*$C$14</f>
        <v>0</v>
      </c>
      <c r="J35" s="46" t="str">
        <f aca="false">IF(MOD(A35,$L$8)=0,"Yes","")</f>
        <v/>
      </c>
      <c r="L35" s="31"/>
    </row>
    <row r="36" customFormat="false" ht="15" hidden="false" customHeight="true" outlineLevel="0" collapsed="false">
      <c r="A36" s="32" t="n">
        <v>18</v>
      </c>
      <c r="B36" s="33" t="n">
        <f aca="false">CEILING(A36/$L$9,1)</f>
        <v>3</v>
      </c>
      <c r="C36" s="47" t="n">
        <f aca="false">IF(MOD(A36,$L$8)=0,$L$6*0.5,$L$6)</f>
        <v>4</v>
      </c>
      <c r="D36" s="47" t="n">
        <f aca="false">IF(MOD(A36,$L$8)=0,0,$L$7)</f>
        <v>0</v>
      </c>
      <c r="E36" s="47" t="n">
        <f aca="false">C36*$C$6+D36+IF(MOD(A36,$L$8)=0,1,0)</f>
        <v>5</v>
      </c>
      <c r="F36" s="47" t="n">
        <f aca="false">C36*$C$7+D36*$C$9+IF(MOD(A36,$L$8)=0,1,0)*$C$12</f>
        <v>1.8</v>
      </c>
      <c r="G36" s="34" t="n">
        <f aca="false">C36*$C$8+D36*$C$10</f>
        <v>0.2</v>
      </c>
      <c r="H36" s="34" t="n">
        <f aca="false">D36*$C$11+IF(MOD(A36,$L$8)=0,1,0)*$C$13</f>
        <v>0.6</v>
      </c>
      <c r="I36" s="34" t="n">
        <f aca="false">IF(MOD(A36,$L$8)=0,1,0)*$C$14</f>
        <v>0.15</v>
      </c>
      <c r="J36" s="48" t="str">
        <f aca="false">IF(MOD(A36,$L$8)=0,"Yes","")</f>
        <v>Yes</v>
      </c>
      <c r="K36" s="36"/>
      <c r="L36" s="35" t="s">
        <v>358</v>
      </c>
    </row>
    <row r="37" customFormat="false" ht="15" hidden="false" customHeight="true" outlineLevel="0" collapsed="false">
      <c r="A37" s="28" t="n">
        <v>19</v>
      </c>
      <c r="B37" s="29" t="n">
        <f aca="false">CEILING(A37/$L$9,1)</f>
        <v>4</v>
      </c>
      <c r="C37" s="45" t="n">
        <f aca="false">IF(MOD(A37,$L$8)=0,$L$6*0.5,$L$6)</f>
        <v>8</v>
      </c>
      <c r="D37" s="45" t="n">
        <f aca="false">IF(MOD(A37,$L$8)=0,0,$L$7)</f>
        <v>1.5</v>
      </c>
      <c r="E37" s="45" t="n">
        <f aca="false">C37*$C$6+D37+IF(MOD(A37,$L$8)=0,1,0)</f>
        <v>9.5</v>
      </c>
      <c r="F37" s="45" t="n">
        <f aca="false">C37*$C$7+D37*$C$9+IF(MOD(A37,$L$8)=0,1,0)*$C$12</f>
        <v>2.575</v>
      </c>
      <c r="G37" s="30" t="n">
        <f aca="false">C37*$C$8+D37*$C$10</f>
        <v>0.85</v>
      </c>
      <c r="H37" s="30" t="n">
        <f aca="false">D37*$C$11+IF(MOD(A37,$L$8)=0,1,0)*$C$13</f>
        <v>0.15</v>
      </c>
      <c r="I37" s="30" t="n">
        <f aca="false">IF(MOD(A37,$L$8)=0,1,0)*$C$14</f>
        <v>0</v>
      </c>
      <c r="J37" s="46" t="str">
        <f aca="false">IF(MOD(A37,$L$8)=0,"Yes","")</f>
        <v/>
      </c>
      <c r="L37" s="31"/>
    </row>
    <row r="38" customFormat="false" ht="15" hidden="false" customHeight="true" outlineLevel="0" collapsed="false">
      <c r="A38" s="32" t="n">
        <v>20</v>
      </c>
      <c r="B38" s="33" t="n">
        <f aca="false">CEILING(A38/$L$9,1)</f>
        <v>4</v>
      </c>
      <c r="C38" s="47" t="n">
        <f aca="false">IF(MOD(A38,$L$8)=0,$L$6*0.5,$L$6)</f>
        <v>8</v>
      </c>
      <c r="D38" s="47" t="n">
        <f aca="false">IF(MOD(A38,$L$8)=0,0,$L$7)</f>
        <v>1.5</v>
      </c>
      <c r="E38" s="47" t="n">
        <f aca="false">C38*$C$6+D38+IF(MOD(A38,$L$8)=0,1,0)</f>
        <v>9.5</v>
      </c>
      <c r="F38" s="47" t="n">
        <f aca="false">C38*$C$7+D38*$C$9+IF(MOD(A38,$L$8)=0,1,0)*$C$12</f>
        <v>2.575</v>
      </c>
      <c r="G38" s="34" t="n">
        <f aca="false">C38*$C$8+D38*$C$10</f>
        <v>0.85</v>
      </c>
      <c r="H38" s="34" t="n">
        <f aca="false">D38*$C$11+IF(MOD(A38,$L$8)=0,1,0)*$C$13</f>
        <v>0.15</v>
      </c>
      <c r="I38" s="34" t="n">
        <f aca="false">IF(MOD(A38,$L$8)=0,1,0)*$C$14</f>
        <v>0</v>
      </c>
      <c r="J38" s="48" t="str">
        <f aca="false">IF(MOD(A38,$L$8)=0,"Yes","")</f>
        <v/>
      </c>
      <c r="K38" s="36"/>
      <c r="L38" s="35"/>
    </row>
    <row r="39" customFormat="false" ht="15" hidden="false" customHeight="true" outlineLevel="0" collapsed="false">
      <c r="A39" s="28" t="n">
        <v>21</v>
      </c>
      <c r="B39" s="29" t="n">
        <f aca="false">CEILING(A39/$L$9,1)</f>
        <v>4</v>
      </c>
      <c r="C39" s="45" t="n">
        <f aca="false">IF(MOD(A39,$L$8)=0,$L$6*0.5,$L$6)</f>
        <v>8</v>
      </c>
      <c r="D39" s="45" t="n">
        <f aca="false">IF(MOD(A39,$L$8)=0,0,$L$7)</f>
        <v>1.5</v>
      </c>
      <c r="E39" s="45" t="n">
        <f aca="false">C39*$C$6+D39+IF(MOD(A39,$L$8)=0,1,0)</f>
        <v>9.5</v>
      </c>
      <c r="F39" s="45" t="n">
        <f aca="false">C39*$C$7+D39*$C$9+IF(MOD(A39,$L$8)=0,1,0)*$C$12</f>
        <v>2.575</v>
      </c>
      <c r="G39" s="30" t="n">
        <f aca="false">C39*$C$8+D39*$C$10</f>
        <v>0.85</v>
      </c>
      <c r="H39" s="30" t="n">
        <f aca="false">D39*$C$11+IF(MOD(A39,$L$8)=0,1,0)*$C$13</f>
        <v>0.15</v>
      </c>
      <c r="I39" s="30" t="n">
        <f aca="false">IF(MOD(A39,$L$8)=0,1,0)*$C$14</f>
        <v>0</v>
      </c>
      <c r="J39" s="46" t="str">
        <f aca="false">IF(MOD(A39,$L$8)=0,"Yes","")</f>
        <v/>
      </c>
      <c r="L39" s="31"/>
    </row>
    <row r="40" customFormat="false" ht="15" hidden="false" customHeight="true" outlineLevel="0" collapsed="false">
      <c r="A40" s="32" t="n">
        <v>22</v>
      </c>
      <c r="B40" s="33" t="n">
        <f aca="false">CEILING(A40/$L$9,1)</f>
        <v>4</v>
      </c>
      <c r="C40" s="47" t="n">
        <f aca="false">IF(MOD(A40,$L$8)=0,$L$6*0.5,$L$6)</f>
        <v>8</v>
      </c>
      <c r="D40" s="47" t="n">
        <f aca="false">IF(MOD(A40,$L$8)=0,0,$L$7)</f>
        <v>1.5</v>
      </c>
      <c r="E40" s="47" t="n">
        <f aca="false">C40*$C$6+D40+IF(MOD(A40,$L$8)=0,1,0)</f>
        <v>9.5</v>
      </c>
      <c r="F40" s="47" t="n">
        <f aca="false">C40*$C$7+D40*$C$9+IF(MOD(A40,$L$8)=0,1,0)*$C$12</f>
        <v>2.575</v>
      </c>
      <c r="G40" s="34" t="n">
        <f aca="false">C40*$C$8+D40*$C$10</f>
        <v>0.85</v>
      </c>
      <c r="H40" s="34" t="n">
        <f aca="false">D40*$C$11+IF(MOD(A40,$L$8)=0,1,0)*$C$13</f>
        <v>0.15</v>
      </c>
      <c r="I40" s="34" t="n">
        <f aca="false">IF(MOD(A40,$L$8)=0,1,0)*$C$14</f>
        <v>0</v>
      </c>
      <c r="J40" s="48" t="str">
        <f aca="false">IF(MOD(A40,$L$8)=0,"Yes","")</f>
        <v/>
      </c>
      <c r="K40" s="36"/>
      <c r="L40" s="35"/>
    </row>
    <row r="41" customFormat="false" ht="15" hidden="false" customHeight="true" outlineLevel="0" collapsed="false">
      <c r="A41" s="28" t="n">
        <v>23</v>
      </c>
      <c r="B41" s="29" t="n">
        <f aca="false">CEILING(A41/$L$9,1)</f>
        <v>4</v>
      </c>
      <c r="C41" s="45" t="n">
        <f aca="false">IF(MOD(A41,$L$8)=0,$L$6*0.5,$L$6)</f>
        <v>8</v>
      </c>
      <c r="D41" s="45" t="n">
        <f aca="false">IF(MOD(A41,$L$8)=0,0,$L$7)</f>
        <v>1.5</v>
      </c>
      <c r="E41" s="45" t="n">
        <f aca="false">C41*$C$6+D41+IF(MOD(A41,$L$8)=0,1,0)</f>
        <v>9.5</v>
      </c>
      <c r="F41" s="45" t="n">
        <f aca="false">C41*$C$7+D41*$C$9+IF(MOD(A41,$L$8)=0,1,0)*$C$12</f>
        <v>2.575</v>
      </c>
      <c r="G41" s="30" t="n">
        <f aca="false">C41*$C$8+D41*$C$10</f>
        <v>0.85</v>
      </c>
      <c r="H41" s="30" t="n">
        <f aca="false">D41*$C$11+IF(MOD(A41,$L$8)=0,1,0)*$C$13</f>
        <v>0.15</v>
      </c>
      <c r="I41" s="30" t="n">
        <f aca="false">IF(MOD(A41,$L$8)=0,1,0)*$C$14</f>
        <v>0</v>
      </c>
      <c r="J41" s="46" t="str">
        <f aca="false">IF(MOD(A41,$L$8)=0,"Yes","")</f>
        <v/>
      </c>
      <c r="L41" s="31"/>
    </row>
    <row r="42" customFormat="false" ht="15" hidden="false" customHeight="true" outlineLevel="0" collapsed="false">
      <c r="A42" s="32" t="n">
        <v>24</v>
      </c>
      <c r="B42" s="33" t="n">
        <f aca="false">CEILING(A42/$L$9,1)</f>
        <v>4</v>
      </c>
      <c r="C42" s="47" t="n">
        <f aca="false">IF(MOD(A42,$L$8)=0,$L$6*0.5,$L$6)</f>
        <v>4</v>
      </c>
      <c r="D42" s="47" t="n">
        <f aca="false">IF(MOD(A42,$L$8)=0,0,$L$7)</f>
        <v>0</v>
      </c>
      <c r="E42" s="47" t="n">
        <f aca="false">C42*$C$6+D42+IF(MOD(A42,$L$8)=0,1,0)</f>
        <v>5</v>
      </c>
      <c r="F42" s="47" t="n">
        <f aca="false">C42*$C$7+D42*$C$9+IF(MOD(A42,$L$8)=0,1,0)*$C$12</f>
        <v>1.8</v>
      </c>
      <c r="G42" s="34" t="n">
        <f aca="false">C42*$C$8+D42*$C$10</f>
        <v>0.2</v>
      </c>
      <c r="H42" s="34" t="n">
        <f aca="false">D42*$C$11+IF(MOD(A42,$L$8)=0,1,0)*$C$13</f>
        <v>0.6</v>
      </c>
      <c r="I42" s="34" t="n">
        <f aca="false">IF(MOD(A42,$L$8)=0,1,0)*$C$14</f>
        <v>0.15</v>
      </c>
      <c r="J42" s="48" t="str">
        <f aca="false">IF(MOD(A42,$L$8)=0,"Yes","")</f>
        <v>Yes</v>
      </c>
      <c r="K42" s="36"/>
      <c r="L42" s="35" t="s">
        <v>359</v>
      </c>
    </row>
    <row r="43" customFormat="false" ht="15" hidden="false" customHeight="true" outlineLevel="0" collapsed="false">
      <c r="A43" s="28" t="n">
        <v>25</v>
      </c>
      <c r="B43" s="29" t="n">
        <f aca="false">CEILING(A43/$L$9,1)</f>
        <v>5</v>
      </c>
      <c r="C43" s="45" t="n">
        <f aca="false">IF(MOD(A43,$L$8)=0,$L$6*0.5,$L$6)</f>
        <v>8</v>
      </c>
      <c r="D43" s="45" t="n">
        <f aca="false">IF(MOD(A43,$L$8)=0,0,$L$7)</f>
        <v>1.5</v>
      </c>
      <c r="E43" s="45" t="n">
        <f aca="false">C43*$C$6+D43+IF(MOD(A43,$L$8)=0,1,0)</f>
        <v>9.5</v>
      </c>
      <c r="F43" s="45" t="n">
        <f aca="false">C43*$C$7+D43*$C$9+IF(MOD(A43,$L$8)=0,1,0)*$C$12</f>
        <v>2.575</v>
      </c>
      <c r="G43" s="30" t="n">
        <f aca="false">C43*$C$8+D43*$C$10</f>
        <v>0.85</v>
      </c>
      <c r="H43" s="30" t="n">
        <f aca="false">D43*$C$11+IF(MOD(A43,$L$8)=0,1,0)*$C$13</f>
        <v>0.15</v>
      </c>
      <c r="I43" s="30" t="n">
        <f aca="false">IF(MOD(A43,$L$8)=0,1,0)*$C$14</f>
        <v>0</v>
      </c>
      <c r="J43" s="46" t="str">
        <f aca="false">IF(MOD(A43,$L$8)=0,"Yes","")</f>
        <v/>
      </c>
      <c r="L43" s="31"/>
    </row>
    <row r="44" customFormat="false" ht="15" hidden="false" customHeight="true" outlineLevel="0" collapsed="false">
      <c r="A44" s="32" t="n">
        <v>26</v>
      </c>
      <c r="B44" s="33" t="n">
        <f aca="false">CEILING(A44/$L$9,1)</f>
        <v>5</v>
      </c>
      <c r="C44" s="47" t="n">
        <f aca="false">IF(MOD(A44,$L$8)=0,$L$6*0.5,$L$6)</f>
        <v>8</v>
      </c>
      <c r="D44" s="47" t="n">
        <f aca="false">IF(MOD(A44,$L$8)=0,0,$L$7)</f>
        <v>1.5</v>
      </c>
      <c r="E44" s="47" t="n">
        <f aca="false">C44*$C$6+D44+IF(MOD(A44,$L$8)=0,1,0)</f>
        <v>9.5</v>
      </c>
      <c r="F44" s="47" t="n">
        <f aca="false">C44*$C$7+D44*$C$9+IF(MOD(A44,$L$8)=0,1,0)*$C$12</f>
        <v>2.575</v>
      </c>
      <c r="G44" s="34" t="n">
        <f aca="false">C44*$C$8+D44*$C$10</f>
        <v>0.85</v>
      </c>
      <c r="H44" s="34" t="n">
        <f aca="false">D44*$C$11+IF(MOD(A44,$L$8)=0,1,0)*$C$13</f>
        <v>0.15</v>
      </c>
      <c r="I44" s="34" t="n">
        <f aca="false">IF(MOD(A44,$L$8)=0,1,0)*$C$14</f>
        <v>0</v>
      </c>
      <c r="J44" s="48" t="str">
        <f aca="false">IF(MOD(A44,$L$8)=0,"Yes","")</f>
        <v/>
      </c>
      <c r="K44" s="36"/>
      <c r="L44" s="35"/>
    </row>
    <row r="45" customFormat="false" ht="15" hidden="false" customHeight="true" outlineLevel="0" collapsed="false">
      <c r="A45" s="28" t="n">
        <v>27</v>
      </c>
      <c r="B45" s="29" t="n">
        <f aca="false">CEILING(A45/$L$9,1)</f>
        <v>5</v>
      </c>
      <c r="C45" s="45" t="n">
        <f aca="false">IF(MOD(A45,$L$8)=0,$L$6*0.5,$L$6)</f>
        <v>8</v>
      </c>
      <c r="D45" s="45" t="n">
        <f aca="false">IF(MOD(A45,$L$8)=0,0,$L$7)</f>
        <v>1.5</v>
      </c>
      <c r="E45" s="45" t="n">
        <f aca="false">C45*$C$6+D45+IF(MOD(A45,$L$8)=0,1,0)</f>
        <v>9.5</v>
      </c>
      <c r="F45" s="45" t="n">
        <f aca="false">C45*$C$7+D45*$C$9+IF(MOD(A45,$L$8)=0,1,0)*$C$12</f>
        <v>2.575</v>
      </c>
      <c r="G45" s="30" t="n">
        <f aca="false">C45*$C$8+D45*$C$10</f>
        <v>0.85</v>
      </c>
      <c r="H45" s="30" t="n">
        <f aca="false">D45*$C$11+IF(MOD(A45,$L$8)=0,1,0)*$C$13</f>
        <v>0.15</v>
      </c>
      <c r="I45" s="30" t="n">
        <f aca="false">IF(MOD(A45,$L$8)=0,1,0)*$C$14</f>
        <v>0</v>
      </c>
      <c r="J45" s="46" t="str">
        <f aca="false">IF(MOD(A45,$L$8)=0,"Yes","")</f>
        <v/>
      </c>
      <c r="L45" s="31"/>
    </row>
    <row r="46" customFormat="false" ht="15" hidden="false" customHeight="true" outlineLevel="0" collapsed="false">
      <c r="A46" s="32" t="n">
        <v>28</v>
      </c>
      <c r="B46" s="33" t="n">
        <f aca="false">CEILING(A46/$L$9,1)</f>
        <v>5</v>
      </c>
      <c r="C46" s="47" t="n">
        <f aca="false">IF(MOD(A46,$L$8)=0,$L$6*0.5,$L$6)</f>
        <v>8</v>
      </c>
      <c r="D46" s="47" t="n">
        <f aca="false">IF(MOD(A46,$L$8)=0,0,$L$7)</f>
        <v>1.5</v>
      </c>
      <c r="E46" s="47" t="n">
        <f aca="false">C46*$C$6+D46+IF(MOD(A46,$L$8)=0,1,0)</f>
        <v>9.5</v>
      </c>
      <c r="F46" s="47" t="n">
        <f aca="false">C46*$C$7+D46*$C$9+IF(MOD(A46,$L$8)=0,1,0)*$C$12</f>
        <v>2.575</v>
      </c>
      <c r="G46" s="34" t="n">
        <f aca="false">C46*$C$8+D46*$C$10</f>
        <v>0.85</v>
      </c>
      <c r="H46" s="34" t="n">
        <f aca="false">D46*$C$11+IF(MOD(A46,$L$8)=0,1,0)*$C$13</f>
        <v>0.15</v>
      </c>
      <c r="I46" s="34" t="n">
        <f aca="false">IF(MOD(A46,$L$8)=0,1,0)*$C$14</f>
        <v>0</v>
      </c>
      <c r="J46" s="48" t="str">
        <f aca="false">IF(MOD(A46,$L$8)=0,"Yes","")</f>
        <v/>
      </c>
      <c r="K46" s="36"/>
      <c r="L46" s="35"/>
    </row>
    <row r="47" customFormat="false" ht="15" hidden="false" customHeight="true" outlineLevel="0" collapsed="false">
      <c r="A47" s="28" t="n">
        <v>29</v>
      </c>
      <c r="B47" s="29" t="n">
        <f aca="false">CEILING(A47/$L$9,1)</f>
        <v>5</v>
      </c>
      <c r="C47" s="45" t="n">
        <f aca="false">IF(MOD(A47,$L$8)=0,$L$6*0.5,$L$6)</f>
        <v>8</v>
      </c>
      <c r="D47" s="45" t="n">
        <f aca="false">IF(MOD(A47,$L$8)=0,0,$L$7)</f>
        <v>1.5</v>
      </c>
      <c r="E47" s="45" t="n">
        <f aca="false">C47*$C$6+D47+IF(MOD(A47,$L$8)=0,1,0)</f>
        <v>9.5</v>
      </c>
      <c r="F47" s="45" t="n">
        <f aca="false">C47*$C$7+D47*$C$9+IF(MOD(A47,$L$8)=0,1,0)*$C$12</f>
        <v>2.575</v>
      </c>
      <c r="G47" s="30" t="n">
        <f aca="false">C47*$C$8+D47*$C$10</f>
        <v>0.85</v>
      </c>
      <c r="H47" s="30" t="n">
        <f aca="false">D47*$C$11+IF(MOD(A47,$L$8)=0,1,0)*$C$13</f>
        <v>0.15</v>
      </c>
      <c r="I47" s="30" t="n">
        <f aca="false">IF(MOD(A47,$L$8)=0,1,0)*$C$14</f>
        <v>0</v>
      </c>
      <c r="J47" s="46" t="str">
        <f aca="false">IF(MOD(A47,$L$8)=0,"Yes","")</f>
        <v/>
      </c>
      <c r="L47" s="31"/>
    </row>
    <row r="48" customFormat="false" ht="15" hidden="false" customHeight="true" outlineLevel="0" collapsed="false">
      <c r="A48" s="32" t="n">
        <v>30</v>
      </c>
      <c r="B48" s="33" t="n">
        <f aca="false">CEILING(A48/$L$9,1)</f>
        <v>5</v>
      </c>
      <c r="C48" s="47" t="n">
        <f aca="false">IF(MOD(A48,$L$8)=0,$L$6*0.5,$L$6)</f>
        <v>4</v>
      </c>
      <c r="D48" s="47" t="n">
        <f aca="false">IF(MOD(A48,$L$8)=0,0,$L$7)</f>
        <v>0</v>
      </c>
      <c r="E48" s="47" t="n">
        <f aca="false">C48*$C$6+D48+IF(MOD(A48,$L$8)=0,1,0)</f>
        <v>5</v>
      </c>
      <c r="F48" s="47" t="n">
        <f aca="false">C48*$C$7+D48*$C$9+IF(MOD(A48,$L$8)=0,1,0)*$C$12</f>
        <v>1.8</v>
      </c>
      <c r="G48" s="34" t="n">
        <f aca="false">C48*$C$8+D48*$C$10</f>
        <v>0.2</v>
      </c>
      <c r="H48" s="34" t="n">
        <f aca="false">D48*$C$11+IF(MOD(A48,$L$8)=0,1,0)*$C$13</f>
        <v>0.6</v>
      </c>
      <c r="I48" s="34" t="n">
        <f aca="false">IF(MOD(A48,$L$8)=0,1,0)*$C$14</f>
        <v>0.15</v>
      </c>
      <c r="J48" s="48" t="str">
        <f aca="false">IF(MOD(A48,$L$8)=0,"Yes","")</f>
        <v>Yes</v>
      </c>
      <c r="K48" s="36"/>
      <c r="L48" s="35" t="s">
        <v>360</v>
      </c>
    </row>
    <row r="49" customFormat="false" ht="21.75" hidden="false" customHeight="true" outlineLevel="0" collapsed="false">
      <c r="A49" s="9" t="s">
        <v>361</v>
      </c>
      <c r="B49" s="9"/>
      <c r="C49" s="9"/>
      <c r="D49" s="9"/>
      <c r="E49" s="9"/>
      <c r="F49" s="9"/>
      <c r="G49" s="9"/>
      <c r="H49" s="9"/>
      <c r="I49" s="9"/>
      <c r="J49" s="9"/>
      <c r="K49" s="9"/>
      <c r="L49" s="9"/>
    </row>
    <row r="50" customFormat="false" ht="15" hidden="false" customHeight="true" outlineLevel="0" collapsed="false">
      <c r="A50" s="49" t="s">
        <v>362</v>
      </c>
      <c r="B50" s="50"/>
      <c r="C50" s="51" t="n">
        <f aca="false">SUM(C19:C48)</f>
        <v>220</v>
      </c>
      <c r="D50" s="51" t="n">
        <f aca="false">SUM(D19:D48)</f>
        <v>37.5</v>
      </c>
      <c r="E50" s="51" t="n">
        <f aca="false">SUM(E19:E48)</f>
        <v>262.5</v>
      </c>
      <c r="F50" s="51" t="n">
        <f aca="false">SUM(F19:F48)</f>
        <v>73.375</v>
      </c>
      <c r="G50" s="52" t="n">
        <f aca="false">SUM(G19:G48)</f>
        <v>22.25</v>
      </c>
      <c r="H50" s="52" t="n">
        <f aca="false">SUM(H19:H48)</f>
        <v>6.75</v>
      </c>
      <c r="I50" s="52" t="n">
        <f aca="false">SUM(I19:I48)</f>
        <v>0.75</v>
      </c>
      <c r="J50" s="50"/>
      <c r="K50" s="50"/>
      <c r="L50" s="50"/>
    </row>
  </sheetData>
  <mergeCells count="5">
    <mergeCell ref="A1:L1"/>
    <mergeCell ref="A2:L2"/>
    <mergeCell ref="A4:L4"/>
    <mergeCell ref="A17:L17"/>
    <mergeCell ref="A49:L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8" min="3" style="1" width="12"/>
    <col collapsed="false" customWidth="true" hidden="false" outlineLevel="0" max="10" min="9" style="1" width="14"/>
    <col collapsed="false" customWidth="true" hidden="false" outlineLevel="0" max="11" min="11" style="1" width="36"/>
  </cols>
  <sheetData>
    <row r="1" customFormat="false" ht="19.5" hidden="false" customHeight="true" outlineLevel="0" collapsed="false">
      <c r="A1" s="2" t="s">
        <v>363</v>
      </c>
      <c r="B1" s="2"/>
      <c r="C1" s="2"/>
      <c r="D1" s="2"/>
      <c r="E1" s="2"/>
      <c r="F1" s="2"/>
      <c r="G1" s="2"/>
      <c r="H1" s="2"/>
      <c r="I1" s="2"/>
      <c r="J1" s="2"/>
      <c r="K1" s="2"/>
    </row>
    <row r="2" customFormat="false" ht="15" hidden="false" customHeight="true" outlineLevel="0" collapsed="false">
      <c r="A2" s="3" t="s">
        <v>364</v>
      </c>
      <c r="B2" s="3"/>
      <c r="C2" s="3"/>
      <c r="D2" s="3"/>
      <c r="E2" s="3"/>
      <c r="F2" s="3"/>
      <c r="G2" s="3"/>
      <c r="H2" s="3"/>
      <c r="I2" s="3"/>
      <c r="J2" s="3"/>
      <c r="K2" s="3"/>
    </row>
    <row r="4" customFormat="false" ht="21.75" hidden="false" customHeight="true" outlineLevel="0" collapsed="false">
      <c r="A4" s="9" t="s">
        <v>288</v>
      </c>
      <c r="B4" s="9"/>
      <c r="C4" s="9"/>
      <c r="D4" s="9"/>
      <c r="E4" s="9"/>
      <c r="F4" s="9"/>
      <c r="G4" s="9"/>
      <c r="H4" s="9"/>
      <c r="I4" s="9"/>
      <c r="J4" s="9"/>
      <c r="K4" s="9"/>
    </row>
    <row r="5" customFormat="false" ht="15" hidden="false" customHeight="true" outlineLevel="0" collapsed="false">
      <c r="A5" s="8" t="s">
        <v>289</v>
      </c>
      <c r="B5" s="8" t="s">
        <v>75</v>
      </c>
    </row>
    <row r="6" customFormat="false" ht="15" hidden="false" customHeight="true" outlineLevel="0" collapsed="false">
      <c r="A6" s="25" t="s">
        <v>124</v>
      </c>
      <c r="B6" s="26" t="n">
        <f aca="false">Assumptions!$C$25</f>
        <v>40</v>
      </c>
    </row>
    <row r="7" customFormat="false" ht="15" hidden="false" customHeight="true" outlineLevel="0" collapsed="false">
      <c r="A7" s="25" t="s">
        <v>126</v>
      </c>
      <c r="B7" s="27" t="n">
        <f aca="false">Assumptions!$C$26</f>
        <v>0.09</v>
      </c>
    </row>
    <row r="8" customFormat="false" ht="15" hidden="false" customHeight="true" outlineLevel="0" collapsed="false">
      <c r="A8" s="25" t="s">
        <v>128</v>
      </c>
      <c r="B8" s="44" t="n">
        <f aca="false">Assumptions!$C$27</f>
        <v>3</v>
      </c>
    </row>
    <row r="9" customFormat="false" ht="15" hidden="false" customHeight="true" outlineLevel="0" collapsed="false">
      <c r="A9" s="25" t="s">
        <v>131</v>
      </c>
      <c r="B9" s="44" t="n">
        <f aca="false">Assumptions!$C$28</f>
        <v>8</v>
      </c>
    </row>
    <row r="10" customFormat="false" ht="15" hidden="false" customHeight="true" outlineLevel="0" collapsed="false">
      <c r="A10" s="25" t="s">
        <v>133</v>
      </c>
      <c r="B10" s="26" t="n">
        <f aca="false">Assumptions!$C$29</f>
        <v>6</v>
      </c>
    </row>
    <row r="11" customFormat="false" ht="15" hidden="false" customHeight="true" outlineLevel="0" collapsed="false">
      <c r="A11" s="25" t="s">
        <v>135</v>
      </c>
      <c r="B11" s="27" t="n">
        <f aca="false">Assumptions!$C$30</f>
        <v>0.08</v>
      </c>
    </row>
    <row r="12" customFormat="false" ht="15" hidden="false" customHeight="true" outlineLevel="0" collapsed="false">
      <c r="A12" s="25" t="s">
        <v>137</v>
      </c>
      <c r="B12" s="44" t="n">
        <f aca="false">Assumptions!$C$31</f>
        <v>1.6</v>
      </c>
    </row>
    <row r="13" customFormat="false" ht="15" hidden="false" customHeight="true" outlineLevel="0" collapsed="false">
      <c r="A13" s="25" t="s">
        <v>138</v>
      </c>
      <c r="B13" s="44" t="n">
        <f aca="false">Assumptions!$C$32</f>
        <v>2.5</v>
      </c>
    </row>
    <row r="14" customFormat="false" ht="15" hidden="false" customHeight="true" outlineLevel="0" collapsed="false">
      <c r="A14" s="25" t="s">
        <v>178</v>
      </c>
      <c r="B14" s="26" t="n">
        <f aca="false">Assumptions!$C$53</f>
        <v>6</v>
      </c>
    </row>
    <row r="15" customFormat="false" ht="15" hidden="false" customHeight="true" outlineLevel="0" collapsed="false">
      <c r="A15" s="25" t="s">
        <v>88</v>
      </c>
      <c r="B15" s="26" t="n">
        <f aca="false">Assumptions!$C$9</f>
        <v>6</v>
      </c>
    </row>
    <row r="17" customFormat="false" ht="21.75" hidden="false" customHeight="true" outlineLevel="0" collapsed="false">
      <c r="A17" s="9" t="s">
        <v>365</v>
      </c>
      <c r="B17" s="9"/>
      <c r="C17" s="9"/>
      <c r="D17" s="9"/>
      <c r="E17" s="9"/>
      <c r="F17" s="9"/>
      <c r="G17" s="9"/>
      <c r="H17" s="9"/>
      <c r="I17" s="9"/>
      <c r="J17" s="9"/>
      <c r="K17" s="9"/>
    </row>
    <row r="18" customFormat="false" ht="27.75" hidden="false" customHeight="true" outlineLevel="0" collapsed="false">
      <c r="A18" s="8" t="s">
        <v>291</v>
      </c>
      <c r="B18" s="8" t="s">
        <v>346</v>
      </c>
      <c r="C18" s="8" t="s">
        <v>334</v>
      </c>
      <c r="D18" s="8" t="s">
        <v>96</v>
      </c>
      <c r="E18" s="8" t="s">
        <v>366</v>
      </c>
      <c r="F18" s="8" t="s">
        <v>367</v>
      </c>
      <c r="G18" s="8" t="s">
        <v>368</v>
      </c>
      <c r="H18" s="8" t="s">
        <v>369</v>
      </c>
      <c r="I18" s="8" t="s">
        <v>370</v>
      </c>
      <c r="J18" s="8"/>
      <c r="K18" s="8" t="s">
        <v>297</v>
      </c>
    </row>
    <row r="19" customFormat="false" ht="15" hidden="false" customHeight="true" outlineLevel="0" collapsed="false">
      <c r="A19" s="28" t="n">
        <v>1</v>
      </c>
      <c r="B19" s="29" t="n">
        <f aca="false">CEILING(A19/$B$15,1)</f>
        <v>1</v>
      </c>
      <c r="C19" s="53" t="s">
        <v>338</v>
      </c>
      <c r="D19" s="29" t="n">
        <f aca="false">$B$6*(1+$B$7)^(A19-1)</f>
        <v>40</v>
      </c>
      <c r="E19" s="29" t="n">
        <f aca="false">$B$10*(1+$B$11)^(A19-1)</f>
        <v>6</v>
      </c>
      <c r="F19" s="26" t="n">
        <f aca="false">'Player Stats Curve'!$C$16</f>
        <v>12</v>
      </c>
      <c r="G19" s="29" t="n">
        <f aca="false">IF(F19=0,"—",CEILING(D19/F19,1))</f>
        <v>4</v>
      </c>
      <c r="H19" s="30" t="n">
        <f aca="false">D19/$D$19</f>
        <v>1</v>
      </c>
      <c r="I19" s="53"/>
      <c r="K19" s="31" t="s">
        <v>371</v>
      </c>
    </row>
    <row r="20" customFormat="false" ht="15" hidden="false" customHeight="true" outlineLevel="0" collapsed="false">
      <c r="A20" s="28" t="n">
        <v>1</v>
      </c>
      <c r="B20" s="29" t="n">
        <f aca="false">CEILING(A20/$B$15,1)</f>
        <v>1</v>
      </c>
      <c r="C20" s="53" t="s">
        <v>340</v>
      </c>
      <c r="D20" s="29" t="n">
        <f aca="false">$B$6*(1+$B$7)^(A20-1)*$B$8</f>
        <v>120</v>
      </c>
      <c r="E20" s="29" t="n">
        <f aca="false">$B$10*(1+$B$11)^(A20-1)*$B$12</f>
        <v>9.6</v>
      </c>
      <c r="F20" s="26" t="n">
        <f aca="false">'Player Stats Curve'!$C$16</f>
        <v>12</v>
      </c>
      <c r="G20" s="29" t="n">
        <f aca="false">IF(F20=0,"—",CEILING(D20/F20,1))</f>
        <v>10</v>
      </c>
      <c r="H20" s="30" t="n">
        <f aca="false">D20/$D$19</f>
        <v>3</v>
      </c>
      <c r="I20" s="53"/>
      <c r="K20" s="31"/>
    </row>
    <row r="21" customFormat="false" ht="15" hidden="false" customHeight="true" outlineLevel="0" collapsed="false">
      <c r="A21" s="32" t="n">
        <v>2</v>
      </c>
      <c r="B21" s="33" t="n">
        <f aca="false">CEILING(A21/$B$15,1)</f>
        <v>1</v>
      </c>
      <c r="C21" s="54" t="s">
        <v>338</v>
      </c>
      <c r="D21" s="33" t="n">
        <f aca="false">$B$6*(1+$B$7)^(A21-1)</f>
        <v>43.6</v>
      </c>
      <c r="E21" s="33" t="n">
        <f aca="false">$B$10*(1+$B$11)^(A21-1)</f>
        <v>6.48</v>
      </c>
      <c r="F21" s="55" t="n">
        <f aca="false">'Player Stats Curve'!$C$17</f>
        <v>13.2</v>
      </c>
      <c r="G21" s="33" t="n">
        <f aca="false">IF(F21=0,"—",CEILING(D21/F21,1))</f>
        <v>4</v>
      </c>
      <c r="H21" s="34" t="n">
        <f aca="false">D21/$D$19</f>
        <v>1.09</v>
      </c>
      <c r="I21" s="54"/>
      <c r="J21" s="36"/>
      <c r="K21" s="35"/>
    </row>
    <row r="22" customFormat="false" ht="15" hidden="false" customHeight="true" outlineLevel="0" collapsed="false">
      <c r="A22" s="32" t="n">
        <v>2</v>
      </c>
      <c r="B22" s="33" t="n">
        <f aca="false">CEILING(A22/$B$15,1)</f>
        <v>1</v>
      </c>
      <c r="C22" s="54" t="s">
        <v>340</v>
      </c>
      <c r="D22" s="33" t="n">
        <f aca="false">$B$6*(1+$B$7)^(A22-1)*$B$8</f>
        <v>130.8</v>
      </c>
      <c r="E22" s="33" t="n">
        <f aca="false">$B$10*(1+$B$11)^(A22-1)*$B$12</f>
        <v>10.368</v>
      </c>
      <c r="F22" s="55" t="n">
        <f aca="false">'Player Stats Curve'!$C$17</f>
        <v>13.2</v>
      </c>
      <c r="G22" s="33" t="n">
        <f aca="false">IF(F22=0,"—",CEILING(D22/F22,1))</f>
        <v>10</v>
      </c>
      <c r="H22" s="34" t="n">
        <f aca="false">D22/$D$19</f>
        <v>3.27</v>
      </c>
      <c r="I22" s="54"/>
      <c r="J22" s="36"/>
      <c r="K22" s="35"/>
    </row>
    <row r="23" customFormat="false" ht="15" hidden="false" customHeight="true" outlineLevel="0" collapsed="false">
      <c r="A23" s="28" t="n">
        <v>3</v>
      </c>
      <c r="B23" s="29" t="n">
        <f aca="false">CEILING(A23/$B$15,1)</f>
        <v>1</v>
      </c>
      <c r="C23" s="53" t="s">
        <v>338</v>
      </c>
      <c r="D23" s="29" t="n">
        <f aca="false">$B$6*(1+$B$7)^(A23-1)</f>
        <v>47.524</v>
      </c>
      <c r="E23" s="29" t="n">
        <f aca="false">$B$10*(1+$B$11)^(A23-1)</f>
        <v>6.9984</v>
      </c>
      <c r="F23" s="26" t="n">
        <f aca="false">'Player Stats Curve'!$C$18</f>
        <v>14.52</v>
      </c>
      <c r="G23" s="29" t="n">
        <f aca="false">IF(F23=0,"—",CEILING(D23/F23,1))</f>
        <v>4</v>
      </c>
      <c r="H23" s="30" t="n">
        <f aca="false">D23/$D$19</f>
        <v>1.1881</v>
      </c>
      <c r="I23" s="53"/>
      <c r="K23" s="31"/>
    </row>
    <row r="24" customFormat="false" ht="15" hidden="false" customHeight="true" outlineLevel="0" collapsed="false">
      <c r="A24" s="28" t="n">
        <v>3</v>
      </c>
      <c r="B24" s="29" t="n">
        <f aca="false">CEILING(A24/$B$15,1)</f>
        <v>1</v>
      </c>
      <c r="C24" s="53" t="s">
        <v>340</v>
      </c>
      <c r="D24" s="29" t="n">
        <f aca="false">$B$6*(1+$B$7)^(A24-1)*$B$8</f>
        <v>142.572</v>
      </c>
      <c r="E24" s="29" t="n">
        <f aca="false">$B$10*(1+$B$11)^(A24-1)*$B$12</f>
        <v>11.19744</v>
      </c>
      <c r="F24" s="26" t="n">
        <f aca="false">'Player Stats Curve'!$C$18</f>
        <v>14.52</v>
      </c>
      <c r="G24" s="29" t="n">
        <f aca="false">IF(F24=0,"—",CEILING(D24/F24,1))</f>
        <v>10</v>
      </c>
      <c r="H24" s="30" t="n">
        <f aca="false">D24/$D$19</f>
        <v>3.5643</v>
      </c>
      <c r="I24" s="53"/>
      <c r="K24" s="31"/>
    </row>
    <row r="25" customFormat="false" ht="15" hidden="false" customHeight="true" outlineLevel="0" collapsed="false">
      <c r="A25" s="32" t="n">
        <v>4</v>
      </c>
      <c r="B25" s="33" t="n">
        <f aca="false">CEILING(A25/$B$15,1)</f>
        <v>1</v>
      </c>
      <c r="C25" s="54" t="s">
        <v>338</v>
      </c>
      <c r="D25" s="33" t="n">
        <f aca="false">$B$6*(1+$B$7)^(A25-1)</f>
        <v>51.80116</v>
      </c>
      <c r="E25" s="33" t="n">
        <f aca="false">$B$10*(1+$B$11)^(A25-1)</f>
        <v>7.558272</v>
      </c>
      <c r="F25" s="55" t="n">
        <f aca="false">'Player Stats Curve'!$C$19</f>
        <v>15.972</v>
      </c>
      <c r="G25" s="33" t="n">
        <f aca="false">IF(F25=0,"—",CEILING(D25/F25,1))</f>
        <v>4</v>
      </c>
      <c r="H25" s="34" t="n">
        <f aca="false">D25/$D$19</f>
        <v>1.295029</v>
      </c>
      <c r="I25" s="54"/>
      <c r="J25" s="36"/>
      <c r="K25" s="35"/>
    </row>
    <row r="26" customFormat="false" ht="15" hidden="false" customHeight="true" outlineLevel="0" collapsed="false">
      <c r="A26" s="32" t="n">
        <v>4</v>
      </c>
      <c r="B26" s="33" t="n">
        <f aca="false">CEILING(A26/$B$15,1)</f>
        <v>1</v>
      </c>
      <c r="C26" s="54" t="s">
        <v>340</v>
      </c>
      <c r="D26" s="33" t="n">
        <f aca="false">$B$6*(1+$B$7)^(A26-1)*$B$8</f>
        <v>155.40348</v>
      </c>
      <c r="E26" s="33" t="n">
        <f aca="false">$B$10*(1+$B$11)^(A26-1)*$B$12</f>
        <v>12.0932352</v>
      </c>
      <c r="F26" s="55" t="n">
        <f aca="false">'Player Stats Curve'!$C$19</f>
        <v>15.972</v>
      </c>
      <c r="G26" s="33" t="n">
        <f aca="false">IF(F26=0,"—",CEILING(D26/F26,1))</f>
        <v>10</v>
      </c>
      <c r="H26" s="34" t="n">
        <f aca="false">D26/$D$19</f>
        <v>3.885087</v>
      </c>
      <c r="I26" s="54"/>
      <c r="J26" s="36"/>
      <c r="K26" s="35"/>
    </row>
    <row r="27" customFormat="false" ht="15" hidden="false" customHeight="true" outlineLevel="0" collapsed="false">
      <c r="A27" s="28" t="n">
        <v>5</v>
      </c>
      <c r="B27" s="29" t="n">
        <f aca="false">CEILING(A27/$B$15,1)</f>
        <v>1</v>
      </c>
      <c r="C27" s="53" t="s">
        <v>338</v>
      </c>
      <c r="D27" s="29" t="n">
        <f aca="false">$B$6*(1+$B$7)^(A27-1)</f>
        <v>56.4632644</v>
      </c>
      <c r="E27" s="29" t="n">
        <f aca="false">$B$10*(1+$B$11)^(A27-1)</f>
        <v>8.16293376</v>
      </c>
      <c r="F27" s="26" t="n">
        <f aca="false">'Player Stats Curve'!$C$20</f>
        <v>17.5692</v>
      </c>
      <c r="G27" s="29" t="n">
        <f aca="false">IF(F27=0,"—",CEILING(D27/F27,1))</f>
        <v>4</v>
      </c>
      <c r="H27" s="30" t="n">
        <f aca="false">D27/$D$19</f>
        <v>1.41158161</v>
      </c>
      <c r="I27" s="53"/>
      <c r="K27" s="31"/>
    </row>
    <row r="28" customFormat="false" ht="15" hidden="false" customHeight="true" outlineLevel="0" collapsed="false">
      <c r="A28" s="28" t="n">
        <v>5</v>
      </c>
      <c r="B28" s="29" t="n">
        <f aca="false">CEILING(A28/$B$15,1)</f>
        <v>1</v>
      </c>
      <c r="C28" s="53" t="s">
        <v>340</v>
      </c>
      <c r="D28" s="29" t="n">
        <f aca="false">$B$6*(1+$B$7)^(A28-1)*$B$8</f>
        <v>169.3897932</v>
      </c>
      <c r="E28" s="29" t="n">
        <f aca="false">$B$10*(1+$B$11)^(A28-1)*$B$12</f>
        <v>13.060694016</v>
      </c>
      <c r="F28" s="26" t="n">
        <f aca="false">'Player Stats Curve'!$C$20</f>
        <v>17.5692</v>
      </c>
      <c r="G28" s="29" t="n">
        <f aca="false">IF(F28=0,"—",CEILING(D28/F28,1))</f>
        <v>10</v>
      </c>
      <c r="H28" s="30" t="n">
        <f aca="false">D28/$D$19</f>
        <v>4.23474483</v>
      </c>
      <c r="I28" s="53"/>
      <c r="K28" s="31"/>
    </row>
    <row r="29" customFormat="false" ht="15" hidden="false" customHeight="true" outlineLevel="0" collapsed="false">
      <c r="A29" s="32" t="n">
        <v>6</v>
      </c>
      <c r="B29" s="33" t="n">
        <f aca="false">CEILING(A29/$B$15,1)</f>
        <v>1</v>
      </c>
      <c r="C29" s="54" t="s">
        <v>338</v>
      </c>
      <c r="D29" s="33" t="n">
        <f aca="false">$B$6*(1+$B$7)^(A29-1)</f>
        <v>61.544958196</v>
      </c>
      <c r="E29" s="33" t="n">
        <f aca="false">$B$10*(1+$B$11)^(A29-1)</f>
        <v>8.8159684608</v>
      </c>
      <c r="F29" s="55" t="n">
        <f aca="false">'Player Stats Curve'!$C$21</f>
        <v>19.32612</v>
      </c>
      <c r="G29" s="33" t="n">
        <f aca="false">IF(F29=0,"—",CEILING(D29/F29,1))</f>
        <v>4</v>
      </c>
      <c r="H29" s="34" t="n">
        <f aca="false">D29/$D$19</f>
        <v>1.5386239549</v>
      </c>
      <c r="I29" s="54"/>
      <c r="J29" s="36"/>
      <c r="K29" s="35"/>
    </row>
    <row r="30" customFormat="false" ht="15" hidden="false" customHeight="true" outlineLevel="0" collapsed="false">
      <c r="A30" s="32" t="n">
        <v>6</v>
      </c>
      <c r="B30" s="33" t="n">
        <f aca="false">CEILING(A30/$B$15,1)</f>
        <v>1</v>
      </c>
      <c r="C30" s="54" t="s">
        <v>342</v>
      </c>
      <c r="D30" s="33" t="n">
        <f aca="false">$B$6*(1+$B$7)^(A30-1)*$B$9</f>
        <v>492.359665568</v>
      </c>
      <c r="E30" s="33" t="n">
        <f aca="false">$B$10*(1+$B$11)^(A30-1)*$B$13</f>
        <v>22.039921152</v>
      </c>
      <c r="F30" s="55" t="n">
        <f aca="false">'Player Stats Curve'!$C$21</f>
        <v>19.32612</v>
      </c>
      <c r="G30" s="33" t="n">
        <f aca="false">IF(F30=0,"—",CEILING(D30/F30,1))</f>
        <v>26</v>
      </c>
      <c r="H30" s="34" t="n">
        <f aca="false">D30/$D$19</f>
        <v>12.3089916392</v>
      </c>
      <c r="I30" s="54" t="s">
        <v>372</v>
      </c>
      <c r="J30" s="36"/>
      <c r="K30" s="35" t="s">
        <v>356</v>
      </c>
    </row>
    <row r="31" customFormat="false" ht="15" hidden="false" customHeight="true" outlineLevel="0" collapsed="false">
      <c r="A31" s="28" t="n">
        <v>7</v>
      </c>
      <c r="B31" s="29" t="n">
        <f aca="false">CEILING(A31/$B$15,1)</f>
        <v>2</v>
      </c>
      <c r="C31" s="53" t="s">
        <v>338</v>
      </c>
      <c r="D31" s="29" t="n">
        <f aca="false">$B$6*(1+$B$7)^(A31-1)</f>
        <v>67.08400443364</v>
      </c>
      <c r="E31" s="29" t="n">
        <f aca="false">$B$10*(1+$B$11)^(A31-1)</f>
        <v>9.521245937664</v>
      </c>
      <c r="F31" s="26" t="n">
        <f aca="false">'Player Stats Curve'!$C$22</f>
        <v>21.258732</v>
      </c>
      <c r="G31" s="29" t="n">
        <f aca="false">IF(F31=0,"—",CEILING(D31/F31,1))</f>
        <v>4</v>
      </c>
      <c r="H31" s="30" t="n">
        <f aca="false">D31/$D$19</f>
        <v>1.677100110841</v>
      </c>
      <c r="I31" s="53"/>
      <c r="K31" s="31"/>
    </row>
    <row r="32" customFormat="false" ht="15" hidden="false" customHeight="true" outlineLevel="0" collapsed="false">
      <c r="A32" s="28" t="n">
        <v>7</v>
      </c>
      <c r="B32" s="29" t="n">
        <f aca="false">CEILING(A32/$B$15,1)</f>
        <v>2</v>
      </c>
      <c r="C32" s="53" t="s">
        <v>340</v>
      </c>
      <c r="D32" s="29" t="n">
        <f aca="false">$B$6*(1+$B$7)^(A32-1)*$B$8</f>
        <v>201.25201330092</v>
      </c>
      <c r="E32" s="29" t="n">
        <f aca="false">$B$10*(1+$B$11)^(A32-1)*$B$12</f>
        <v>15.2339935002624</v>
      </c>
      <c r="F32" s="26" t="n">
        <f aca="false">'Player Stats Curve'!$C$22</f>
        <v>21.258732</v>
      </c>
      <c r="G32" s="29" t="n">
        <f aca="false">IF(F32=0,"—",CEILING(D32/F32,1))</f>
        <v>10</v>
      </c>
      <c r="H32" s="30" t="n">
        <f aca="false">D32/$D$19</f>
        <v>5.031300332523</v>
      </c>
      <c r="I32" s="53"/>
      <c r="K32" s="31"/>
    </row>
    <row r="33" customFormat="false" ht="15" hidden="false" customHeight="true" outlineLevel="0" collapsed="false">
      <c r="A33" s="32" t="n">
        <v>8</v>
      </c>
      <c r="B33" s="33" t="n">
        <f aca="false">CEILING(A33/$B$15,1)</f>
        <v>2</v>
      </c>
      <c r="C33" s="54" t="s">
        <v>338</v>
      </c>
      <c r="D33" s="33" t="n">
        <f aca="false">$B$6*(1+$B$7)^(A33-1)</f>
        <v>73.1215648326676</v>
      </c>
      <c r="E33" s="33" t="n">
        <f aca="false">$B$10*(1+$B$11)^(A33-1)</f>
        <v>10.2829456126771</v>
      </c>
      <c r="F33" s="55" t="n">
        <f aca="false">'Player Stats Curve'!$C$23</f>
        <v>23.3846052</v>
      </c>
      <c r="G33" s="33" t="n">
        <f aca="false">IF(F33=0,"—",CEILING(D33/F33,1))</f>
        <v>4</v>
      </c>
      <c r="H33" s="34" t="n">
        <f aca="false">D33/$D$19</f>
        <v>1.82803912081669</v>
      </c>
      <c r="I33" s="54"/>
      <c r="J33" s="36"/>
      <c r="K33" s="35"/>
    </row>
    <row r="34" customFormat="false" ht="15" hidden="false" customHeight="true" outlineLevel="0" collapsed="false">
      <c r="A34" s="32" t="n">
        <v>8</v>
      </c>
      <c r="B34" s="33" t="n">
        <f aca="false">CEILING(A34/$B$15,1)</f>
        <v>2</v>
      </c>
      <c r="C34" s="54" t="s">
        <v>340</v>
      </c>
      <c r="D34" s="33" t="n">
        <f aca="false">$B$6*(1+$B$7)^(A34-1)*$B$8</f>
        <v>219.364694498003</v>
      </c>
      <c r="E34" s="33" t="n">
        <f aca="false">$B$10*(1+$B$11)^(A34-1)*$B$12</f>
        <v>16.4527129802834</v>
      </c>
      <c r="F34" s="55" t="n">
        <f aca="false">'Player Stats Curve'!$C$23</f>
        <v>23.3846052</v>
      </c>
      <c r="G34" s="33" t="n">
        <f aca="false">IF(F34=0,"—",CEILING(D34/F34,1))</f>
        <v>10</v>
      </c>
      <c r="H34" s="34" t="n">
        <f aca="false">D34/$D$19</f>
        <v>5.48411736245007</v>
      </c>
      <c r="I34" s="54"/>
      <c r="J34" s="36"/>
      <c r="K34" s="35"/>
    </row>
    <row r="35" customFormat="false" ht="15" hidden="false" customHeight="true" outlineLevel="0" collapsed="false">
      <c r="A35" s="28" t="n">
        <v>9</v>
      </c>
      <c r="B35" s="29" t="n">
        <f aca="false">CEILING(A35/$B$15,1)</f>
        <v>2</v>
      </c>
      <c r="C35" s="53" t="s">
        <v>338</v>
      </c>
      <c r="D35" s="29" t="n">
        <f aca="false">$B$6*(1+$B$7)^(A35-1)</f>
        <v>79.7025056676077</v>
      </c>
      <c r="E35" s="29" t="n">
        <f aca="false">$B$10*(1+$B$11)^(A35-1)</f>
        <v>11.1055812616913</v>
      </c>
      <c r="F35" s="26" t="n">
        <f aca="false">'Player Stats Curve'!$C$24</f>
        <v>25.72306572</v>
      </c>
      <c r="G35" s="29" t="n">
        <f aca="false">IF(F35=0,"—",CEILING(D35/F35,1))</f>
        <v>4</v>
      </c>
      <c r="H35" s="30" t="n">
        <f aca="false">D35/$D$19</f>
        <v>1.99256264169019</v>
      </c>
      <c r="I35" s="53"/>
      <c r="K35" s="31"/>
    </row>
    <row r="36" customFormat="false" ht="15" hidden="false" customHeight="true" outlineLevel="0" collapsed="false">
      <c r="A36" s="28" t="n">
        <v>9</v>
      </c>
      <c r="B36" s="29" t="n">
        <f aca="false">CEILING(A36/$B$15,1)</f>
        <v>2</v>
      </c>
      <c r="C36" s="53" t="s">
        <v>340</v>
      </c>
      <c r="D36" s="29" t="n">
        <f aca="false">$B$6*(1+$B$7)^(A36-1)*$B$8</f>
        <v>239.107517002823</v>
      </c>
      <c r="E36" s="29" t="n">
        <f aca="false">$B$10*(1+$B$11)^(A36-1)*$B$12</f>
        <v>17.7689300187061</v>
      </c>
      <c r="F36" s="26" t="n">
        <f aca="false">'Player Stats Curve'!$C$24</f>
        <v>25.72306572</v>
      </c>
      <c r="G36" s="29" t="n">
        <f aca="false">IF(F36=0,"—",CEILING(D36/F36,1))</f>
        <v>10</v>
      </c>
      <c r="H36" s="30" t="n">
        <f aca="false">D36/$D$19</f>
        <v>5.97768792507058</v>
      </c>
      <c r="I36" s="53"/>
      <c r="K36" s="31"/>
    </row>
    <row r="37" customFormat="false" ht="15" hidden="false" customHeight="true" outlineLevel="0" collapsed="false">
      <c r="A37" s="32" t="n">
        <v>10</v>
      </c>
      <c r="B37" s="33" t="n">
        <f aca="false">CEILING(A37/$B$15,1)</f>
        <v>2</v>
      </c>
      <c r="C37" s="54" t="s">
        <v>338</v>
      </c>
      <c r="D37" s="33" t="n">
        <f aca="false">$B$6*(1+$B$7)^(A37-1)</f>
        <v>86.8757311776924</v>
      </c>
      <c r="E37" s="33" t="n">
        <f aca="false">$B$10*(1+$B$11)^(A37-1)</f>
        <v>11.9940277626266</v>
      </c>
      <c r="F37" s="55" t="n">
        <f aca="false">'Player Stats Curve'!$C$25</f>
        <v>28.295372292</v>
      </c>
      <c r="G37" s="33" t="n">
        <f aca="false">IF(F37=0,"—",CEILING(D37/F37,1))</f>
        <v>4</v>
      </c>
      <c r="H37" s="34" t="n">
        <f aca="false">D37/$D$19</f>
        <v>2.17189327944231</v>
      </c>
      <c r="I37" s="54"/>
      <c r="J37" s="36"/>
      <c r="K37" s="35"/>
    </row>
    <row r="38" customFormat="false" ht="15" hidden="false" customHeight="true" outlineLevel="0" collapsed="false">
      <c r="A38" s="32" t="n">
        <v>10</v>
      </c>
      <c r="B38" s="33" t="n">
        <f aca="false">CEILING(A38/$B$15,1)</f>
        <v>2</v>
      </c>
      <c r="C38" s="54" t="s">
        <v>340</v>
      </c>
      <c r="D38" s="33" t="n">
        <f aca="false">$B$6*(1+$B$7)^(A38-1)*$B$8</f>
        <v>260.627193533077</v>
      </c>
      <c r="E38" s="33" t="n">
        <f aca="false">$B$10*(1+$B$11)^(A38-1)*$B$12</f>
        <v>19.1904444202026</v>
      </c>
      <c r="F38" s="55" t="n">
        <f aca="false">'Player Stats Curve'!$C$25</f>
        <v>28.295372292</v>
      </c>
      <c r="G38" s="33" t="n">
        <f aca="false">IF(F38=0,"—",CEILING(D38/F38,1))</f>
        <v>10</v>
      </c>
      <c r="H38" s="34" t="n">
        <f aca="false">D38/$D$19</f>
        <v>6.51567983832693</v>
      </c>
      <c r="I38" s="54"/>
      <c r="J38" s="36"/>
      <c r="K38" s="35"/>
    </row>
    <row r="39" customFormat="false" ht="15" hidden="false" customHeight="true" outlineLevel="0" collapsed="false">
      <c r="A39" s="28" t="n">
        <v>11</v>
      </c>
      <c r="B39" s="29" t="n">
        <f aca="false">CEILING(A39/$B$15,1)</f>
        <v>2</v>
      </c>
      <c r="C39" s="53" t="s">
        <v>338</v>
      </c>
      <c r="D39" s="29" t="n">
        <f aca="false">$B$6*(1+$B$7)^(A39-1)</f>
        <v>94.6945469836848</v>
      </c>
      <c r="E39" s="29" t="n">
        <f aca="false">$B$10*(1+$B$11)^(A39-1)</f>
        <v>12.9535499836367</v>
      </c>
      <c r="F39" s="26" t="n">
        <f aca="false">'Player Stats Curve'!$C$26</f>
        <v>31.1249095212</v>
      </c>
      <c r="G39" s="29" t="n">
        <f aca="false">IF(F39=0,"—",CEILING(D39/F39,1))</f>
        <v>4</v>
      </c>
      <c r="H39" s="30" t="n">
        <f aca="false">D39/$D$19</f>
        <v>2.36736367459212</v>
      </c>
      <c r="I39" s="53"/>
      <c r="K39" s="31"/>
    </row>
    <row r="40" customFormat="false" ht="15" hidden="false" customHeight="true" outlineLevel="0" collapsed="false">
      <c r="A40" s="28" t="n">
        <v>11</v>
      </c>
      <c r="B40" s="29" t="n">
        <f aca="false">CEILING(A40/$B$15,1)</f>
        <v>2</v>
      </c>
      <c r="C40" s="53" t="s">
        <v>340</v>
      </c>
      <c r="D40" s="29" t="n">
        <f aca="false">$B$6*(1+$B$7)^(A40-1)*$B$8</f>
        <v>284.083640951054</v>
      </c>
      <c r="E40" s="29" t="n">
        <f aca="false">$B$10*(1+$B$11)^(A40-1)*$B$12</f>
        <v>20.7256799738188</v>
      </c>
      <c r="F40" s="26" t="n">
        <f aca="false">'Player Stats Curve'!$C$26</f>
        <v>31.1249095212</v>
      </c>
      <c r="G40" s="29" t="n">
        <f aca="false">IF(F40=0,"—",CEILING(D40/F40,1))</f>
        <v>10</v>
      </c>
      <c r="H40" s="30" t="n">
        <f aca="false">D40/$D$19</f>
        <v>7.10209102377636</v>
      </c>
      <c r="I40" s="53"/>
      <c r="K40" s="31"/>
    </row>
    <row r="41" customFormat="false" ht="15" hidden="false" customHeight="true" outlineLevel="0" collapsed="false">
      <c r="A41" s="32" t="n">
        <v>12</v>
      </c>
      <c r="B41" s="33" t="n">
        <f aca="false">CEILING(A41/$B$15,1)</f>
        <v>2</v>
      </c>
      <c r="C41" s="54" t="s">
        <v>338</v>
      </c>
      <c r="D41" s="33" t="n">
        <f aca="false">$B$6*(1+$B$7)^(A41-1)</f>
        <v>103.217056212216</v>
      </c>
      <c r="E41" s="33" t="n">
        <f aca="false">$B$10*(1+$B$11)^(A41-1)</f>
        <v>13.9898339823277</v>
      </c>
      <c r="F41" s="55" t="n">
        <f aca="false">'Player Stats Curve'!$C$27</f>
        <v>34.23740047332</v>
      </c>
      <c r="G41" s="33" t="n">
        <f aca="false">IF(F41=0,"—",CEILING(D41/F41,1))</f>
        <v>4</v>
      </c>
      <c r="H41" s="34" t="n">
        <f aca="false">D41/$D$19</f>
        <v>2.58042640530541</v>
      </c>
      <c r="I41" s="54"/>
      <c r="J41" s="36"/>
      <c r="K41" s="35"/>
    </row>
    <row r="42" customFormat="false" ht="15" hidden="false" customHeight="true" outlineLevel="0" collapsed="false">
      <c r="A42" s="32" t="n">
        <v>12</v>
      </c>
      <c r="B42" s="33" t="n">
        <f aca="false">CEILING(A42/$B$15,1)</f>
        <v>2</v>
      </c>
      <c r="C42" s="54" t="s">
        <v>342</v>
      </c>
      <c r="D42" s="33" t="n">
        <f aca="false">$B$6*(1+$B$7)^(A42-1)*$B$9</f>
        <v>825.736449697731</v>
      </c>
      <c r="E42" s="33" t="n">
        <f aca="false">$B$10*(1+$B$11)^(A42-1)*$B$13</f>
        <v>34.9745849558192</v>
      </c>
      <c r="F42" s="55" t="n">
        <f aca="false">'Player Stats Curve'!$C$27</f>
        <v>34.23740047332</v>
      </c>
      <c r="G42" s="33" t="n">
        <f aca="false">IF(F42=0,"—",CEILING(D42/F42,1))</f>
        <v>25</v>
      </c>
      <c r="H42" s="34" t="n">
        <f aca="false">D42/$D$19</f>
        <v>20.6434112424433</v>
      </c>
      <c r="I42" s="54" t="s">
        <v>372</v>
      </c>
      <c r="J42" s="36"/>
      <c r="K42" s="35" t="s">
        <v>357</v>
      </c>
    </row>
    <row r="43" customFormat="false" ht="15" hidden="false" customHeight="true" outlineLevel="0" collapsed="false">
      <c r="A43" s="28" t="n">
        <v>13</v>
      </c>
      <c r="B43" s="29" t="n">
        <f aca="false">CEILING(A43/$B$15,1)</f>
        <v>3</v>
      </c>
      <c r="C43" s="53" t="s">
        <v>338</v>
      </c>
      <c r="D43" s="29" t="n">
        <f aca="false">$B$6*(1+$B$7)^(A43-1)</f>
        <v>112.506591271316</v>
      </c>
      <c r="E43" s="29" t="n">
        <f aca="false">$B$10*(1+$B$11)^(A43-1)</f>
        <v>15.1090207009139</v>
      </c>
      <c r="F43" s="26" t="n">
        <f aca="false">'Player Stats Curve'!$C$28</f>
        <v>37.661140520652</v>
      </c>
      <c r="G43" s="29" t="n">
        <f aca="false">IF(F43=0,"—",CEILING(D43/F43,1))</f>
        <v>3</v>
      </c>
      <c r="H43" s="30" t="n">
        <f aca="false">D43/$D$19</f>
        <v>2.8126647817829</v>
      </c>
      <c r="I43" s="53"/>
      <c r="K43" s="31"/>
    </row>
    <row r="44" customFormat="false" ht="15" hidden="false" customHeight="true" outlineLevel="0" collapsed="false">
      <c r="A44" s="28" t="n">
        <v>13</v>
      </c>
      <c r="B44" s="29" t="n">
        <f aca="false">CEILING(A44/$B$15,1)</f>
        <v>3</v>
      </c>
      <c r="C44" s="53" t="s">
        <v>340</v>
      </c>
      <c r="D44" s="29" t="n">
        <f aca="false">$B$6*(1+$B$7)^(A44-1)*$B$8</f>
        <v>337.519773813948</v>
      </c>
      <c r="E44" s="29" t="n">
        <f aca="false">$B$10*(1+$B$11)^(A44-1)*$B$12</f>
        <v>24.1744331214622</v>
      </c>
      <c r="F44" s="26" t="n">
        <f aca="false">'Player Stats Curve'!$C$28</f>
        <v>37.661140520652</v>
      </c>
      <c r="G44" s="29" t="n">
        <f aca="false">IF(F44=0,"—",CEILING(D44/F44,1))</f>
        <v>9</v>
      </c>
      <c r="H44" s="30" t="n">
        <f aca="false">D44/$D$19</f>
        <v>8.43799434534869</v>
      </c>
      <c r="I44" s="53"/>
      <c r="K44" s="31"/>
    </row>
    <row r="45" customFormat="false" ht="15" hidden="false" customHeight="true" outlineLevel="0" collapsed="false">
      <c r="A45" s="32" t="n">
        <v>14</v>
      </c>
      <c r="B45" s="33" t="n">
        <f aca="false">CEILING(A45/$B$15,1)</f>
        <v>3</v>
      </c>
      <c r="C45" s="54" t="s">
        <v>338</v>
      </c>
      <c r="D45" s="33" t="n">
        <f aca="false">$B$6*(1+$B$7)^(A45-1)</f>
        <v>122.632184485734</v>
      </c>
      <c r="E45" s="33" t="n">
        <f aca="false">$B$10*(1+$B$11)^(A45-1)</f>
        <v>16.317742356987</v>
      </c>
      <c r="F45" s="55" t="n">
        <f aca="false">'Player Stats Curve'!$C$29</f>
        <v>41.4272545727172</v>
      </c>
      <c r="G45" s="33" t="n">
        <f aca="false">IF(F45=0,"—",CEILING(D45/F45,1))</f>
        <v>3</v>
      </c>
      <c r="H45" s="34" t="n">
        <f aca="false">D45/$D$19</f>
        <v>3.06580461214336</v>
      </c>
      <c r="I45" s="54"/>
      <c r="J45" s="36"/>
      <c r="K45" s="35"/>
    </row>
    <row r="46" customFormat="false" ht="15" hidden="false" customHeight="true" outlineLevel="0" collapsed="false">
      <c r="A46" s="32" t="n">
        <v>14</v>
      </c>
      <c r="B46" s="33" t="n">
        <f aca="false">CEILING(A46/$B$15,1)</f>
        <v>3</v>
      </c>
      <c r="C46" s="54" t="s">
        <v>340</v>
      </c>
      <c r="D46" s="33" t="n">
        <f aca="false">$B$6*(1+$B$7)^(A46-1)*$B$8</f>
        <v>367.896553457203</v>
      </c>
      <c r="E46" s="33" t="n">
        <f aca="false">$B$10*(1+$B$11)^(A46-1)*$B$12</f>
        <v>26.1083877711792</v>
      </c>
      <c r="F46" s="55" t="n">
        <f aca="false">'Player Stats Curve'!$C$29</f>
        <v>41.4272545727172</v>
      </c>
      <c r="G46" s="33" t="n">
        <f aca="false">IF(F46=0,"—",CEILING(D46/F46,1))</f>
        <v>9</v>
      </c>
      <c r="H46" s="34" t="n">
        <f aca="false">D46/$D$19</f>
        <v>9.19741383643007</v>
      </c>
      <c r="I46" s="54"/>
      <c r="J46" s="36"/>
      <c r="K46" s="35"/>
    </row>
    <row r="47" customFormat="false" ht="15" hidden="false" customHeight="true" outlineLevel="0" collapsed="false">
      <c r="A47" s="28" t="n">
        <v>15</v>
      </c>
      <c r="B47" s="29" t="n">
        <f aca="false">CEILING(A47/$B$15,1)</f>
        <v>3</v>
      </c>
      <c r="C47" s="53" t="s">
        <v>338</v>
      </c>
      <c r="D47" s="29" t="n">
        <f aca="false">$B$6*(1+$B$7)^(A47-1)</f>
        <v>133.66908108945</v>
      </c>
      <c r="E47" s="29" t="n">
        <f aca="false">$B$10*(1+$B$11)^(A47-1)</f>
        <v>17.623161745546</v>
      </c>
      <c r="F47" s="26" t="n">
        <f aca="false">'Player Stats Curve'!$C$30</f>
        <v>45.569980029989</v>
      </c>
      <c r="G47" s="29" t="n">
        <f aca="false">IF(F47=0,"—",CEILING(D47/F47,1))</f>
        <v>3</v>
      </c>
      <c r="H47" s="30" t="n">
        <f aca="false">D47/$D$19</f>
        <v>3.34172702723626</v>
      </c>
      <c r="I47" s="53"/>
      <c r="K47" s="31"/>
    </row>
    <row r="48" customFormat="false" ht="15" hidden="false" customHeight="true" outlineLevel="0" collapsed="false">
      <c r="A48" s="28" t="n">
        <v>15</v>
      </c>
      <c r="B48" s="29" t="n">
        <f aca="false">CEILING(A48/$B$15,1)</f>
        <v>3</v>
      </c>
      <c r="C48" s="53" t="s">
        <v>340</v>
      </c>
      <c r="D48" s="29" t="n">
        <f aca="false">$B$6*(1+$B$7)^(A48-1)*$B$8</f>
        <v>401.007243268351</v>
      </c>
      <c r="E48" s="29" t="n">
        <f aca="false">$B$10*(1+$B$11)^(A48-1)*$B$12</f>
        <v>28.1970587928735</v>
      </c>
      <c r="F48" s="26" t="n">
        <f aca="false">'Player Stats Curve'!$C$30</f>
        <v>45.569980029989</v>
      </c>
      <c r="G48" s="29" t="n">
        <f aca="false">IF(F48=0,"—",CEILING(D48/F48,1))</f>
        <v>9</v>
      </c>
      <c r="H48" s="30" t="n">
        <f aca="false">D48/$D$19</f>
        <v>10.0251810817088</v>
      </c>
      <c r="I48" s="53"/>
      <c r="K48" s="31"/>
    </row>
    <row r="49" customFormat="false" ht="15" hidden="false" customHeight="true" outlineLevel="0" collapsed="false">
      <c r="A49" s="32" t="n">
        <v>16</v>
      </c>
      <c r="B49" s="33" t="n">
        <f aca="false">CEILING(A49/$B$15,1)</f>
        <v>3</v>
      </c>
      <c r="C49" s="54" t="s">
        <v>338</v>
      </c>
      <c r="D49" s="33" t="n">
        <f aca="false">$B$6*(1+$B$7)^(A49-1)</f>
        <v>145.699298387501</v>
      </c>
      <c r="E49" s="33" t="n">
        <f aca="false">$B$10*(1+$B$11)^(A49-1)</f>
        <v>19.0330146851896</v>
      </c>
      <c r="F49" s="55" t="n">
        <f aca="false">'Player Stats Curve'!$C$31</f>
        <v>50.1269780329879</v>
      </c>
      <c r="G49" s="33" t="n">
        <f aca="false">IF(F49=0,"—",CEILING(D49/F49,1))</f>
        <v>3</v>
      </c>
      <c r="H49" s="34" t="n">
        <f aca="false">D49/$D$19</f>
        <v>3.64248245968752</v>
      </c>
      <c r="I49" s="54"/>
      <c r="J49" s="36"/>
      <c r="K49" s="35"/>
    </row>
    <row r="50" customFormat="false" ht="15" hidden="false" customHeight="true" outlineLevel="0" collapsed="false">
      <c r="A50" s="32" t="n">
        <v>16</v>
      </c>
      <c r="B50" s="33" t="n">
        <f aca="false">CEILING(A50/$B$15,1)</f>
        <v>3</v>
      </c>
      <c r="C50" s="54" t="s">
        <v>340</v>
      </c>
      <c r="D50" s="33" t="n">
        <f aca="false">$B$6*(1+$B$7)^(A50-1)*$B$8</f>
        <v>437.097895162503</v>
      </c>
      <c r="E50" s="33" t="n">
        <f aca="false">$B$10*(1+$B$11)^(A50-1)*$B$12</f>
        <v>30.4528234963034</v>
      </c>
      <c r="F50" s="55" t="n">
        <f aca="false">'Player Stats Curve'!$C$31</f>
        <v>50.1269780329879</v>
      </c>
      <c r="G50" s="33" t="n">
        <f aca="false">IF(F50=0,"—",CEILING(D50/F50,1))</f>
        <v>9</v>
      </c>
      <c r="H50" s="34" t="n">
        <f aca="false">D50/$D$19</f>
        <v>10.9274473790626</v>
      </c>
      <c r="I50" s="54"/>
      <c r="J50" s="36"/>
      <c r="K50" s="35"/>
    </row>
    <row r="51" customFormat="false" ht="15" hidden="false" customHeight="true" outlineLevel="0" collapsed="false">
      <c r="A51" s="28" t="n">
        <v>17</v>
      </c>
      <c r="B51" s="29" t="n">
        <f aca="false">CEILING(A51/$B$15,1)</f>
        <v>3</v>
      </c>
      <c r="C51" s="53" t="s">
        <v>338</v>
      </c>
      <c r="D51" s="29" t="n">
        <f aca="false">$B$6*(1+$B$7)^(A51-1)</f>
        <v>158.812235242376</v>
      </c>
      <c r="E51" s="29" t="n">
        <f aca="false">$B$10*(1+$B$11)^(A51-1)</f>
        <v>20.5556558600048</v>
      </c>
      <c r="F51" s="26" t="n">
        <f aca="false">'Player Stats Curve'!$C$32</f>
        <v>55.1396758362867</v>
      </c>
      <c r="G51" s="29" t="n">
        <f aca="false">IF(F51=0,"—",CEILING(D51/F51,1))</f>
        <v>3</v>
      </c>
      <c r="H51" s="30" t="n">
        <f aca="false">D51/$D$19</f>
        <v>3.9703058810594</v>
      </c>
      <c r="I51" s="53"/>
      <c r="K51" s="31"/>
    </row>
    <row r="52" customFormat="false" ht="15" hidden="false" customHeight="true" outlineLevel="0" collapsed="false">
      <c r="A52" s="28" t="n">
        <v>17</v>
      </c>
      <c r="B52" s="29" t="n">
        <f aca="false">CEILING(A52/$B$15,1)</f>
        <v>3</v>
      </c>
      <c r="C52" s="53" t="s">
        <v>340</v>
      </c>
      <c r="D52" s="29" t="n">
        <f aca="false">$B$6*(1+$B$7)^(A52-1)*$B$8</f>
        <v>476.436705727128</v>
      </c>
      <c r="E52" s="29" t="n">
        <f aca="false">$B$10*(1+$B$11)^(A52-1)*$B$12</f>
        <v>32.8890493760077</v>
      </c>
      <c r="F52" s="26" t="n">
        <f aca="false">'Player Stats Curve'!$C$32</f>
        <v>55.1396758362867</v>
      </c>
      <c r="G52" s="29" t="n">
        <f aca="false">IF(F52=0,"—",CEILING(D52/F52,1))</f>
        <v>9</v>
      </c>
      <c r="H52" s="30" t="n">
        <f aca="false">D52/$D$19</f>
        <v>11.9109176431782</v>
      </c>
      <c r="I52" s="53"/>
      <c r="K52" s="31"/>
    </row>
    <row r="53" customFormat="false" ht="15" hidden="false" customHeight="true" outlineLevel="0" collapsed="false">
      <c r="A53" s="32" t="n">
        <v>18</v>
      </c>
      <c r="B53" s="33" t="n">
        <f aca="false">CEILING(A53/$B$15,1)</f>
        <v>3</v>
      </c>
      <c r="C53" s="54" t="s">
        <v>338</v>
      </c>
      <c r="D53" s="33" t="n">
        <f aca="false">$B$6*(1+$B$7)^(A53-1)</f>
        <v>173.10533641419</v>
      </c>
      <c r="E53" s="33" t="n">
        <f aca="false">$B$10*(1+$B$11)^(A53-1)</f>
        <v>22.2001083288052</v>
      </c>
      <c r="F53" s="55" t="n">
        <f aca="false">'Player Stats Curve'!$C$33</f>
        <v>60.6536434199153</v>
      </c>
      <c r="G53" s="33" t="n">
        <f aca="false">IF(F53=0,"—",CEILING(D53/F53,1))</f>
        <v>3</v>
      </c>
      <c r="H53" s="34" t="n">
        <f aca="false">D53/$D$19</f>
        <v>4.32763341035475</v>
      </c>
      <c r="I53" s="54"/>
      <c r="J53" s="36"/>
      <c r="K53" s="35"/>
    </row>
    <row r="54" customFormat="false" ht="15" hidden="false" customHeight="true" outlineLevel="0" collapsed="false">
      <c r="A54" s="32" t="n">
        <v>18</v>
      </c>
      <c r="B54" s="33" t="n">
        <f aca="false">CEILING(A54/$B$15,1)</f>
        <v>3</v>
      </c>
      <c r="C54" s="54" t="s">
        <v>342</v>
      </c>
      <c r="D54" s="33" t="n">
        <f aca="false">$B$6*(1+$B$7)^(A54-1)*$B$9</f>
        <v>1384.84269131352</v>
      </c>
      <c r="E54" s="33" t="n">
        <f aca="false">$B$10*(1+$B$11)^(A54-1)*$B$13</f>
        <v>55.500270822013</v>
      </c>
      <c r="F54" s="55" t="n">
        <f aca="false">'Player Stats Curve'!$C$33</f>
        <v>60.6536434199153</v>
      </c>
      <c r="G54" s="33" t="n">
        <f aca="false">IF(F54=0,"—",CEILING(D54/F54,1))</f>
        <v>23</v>
      </c>
      <c r="H54" s="34" t="n">
        <f aca="false">D54/$D$19</f>
        <v>34.621067282838</v>
      </c>
      <c r="I54" s="54" t="s">
        <v>372</v>
      </c>
      <c r="J54" s="36"/>
      <c r="K54" s="35" t="s">
        <v>358</v>
      </c>
    </row>
    <row r="55" customFormat="false" ht="15" hidden="false" customHeight="true" outlineLevel="0" collapsed="false">
      <c r="A55" s="28" t="n">
        <v>19</v>
      </c>
      <c r="B55" s="29" t="n">
        <f aca="false">CEILING(A55/$B$15,1)</f>
        <v>4</v>
      </c>
      <c r="C55" s="53" t="s">
        <v>338</v>
      </c>
      <c r="D55" s="29" t="n">
        <f aca="false">$B$6*(1+$B$7)^(A55-1)</f>
        <v>188.684816691467</v>
      </c>
      <c r="E55" s="29" t="n">
        <f aca="false">$B$10*(1+$B$11)^(A55-1)</f>
        <v>23.9761169951096</v>
      </c>
      <c r="F55" s="26" t="n">
        <f aca="false">'Player Stats Curve'!$C$34</f>
        <v>66.7190077619069</v>
      </c>
      <c r="G55" s="29" t="n">
        <f aca="false">IF(F55=0,"—",CEILING(D55/F55,1))</f>
        <v>3</v>
      </c>
      <c r="H55" s="30" t="n">
        <f aca="false">D55/$D$19</f>
        <v>4.71712041728668</v>
      </c>
      <c r="I55" s="53"/>
      <c r="K55" s="31"/>
    </row>
    <row r="56" customFormat="false" ht="15" hidden="false" customHeight="true" outlineLevel="0" collapsed="false">
      <c r="A56" s="28" t="n">
        <v>19</v>
      </c>
      <c r="B56" s="29" t="n">
        <f aca="false">CEILING(A56/$B$15,1)</f>
        <v>4</v>
      </c>
      <c r="C56" s="53" t="s">
        <v>340</v>
      </c>
      <c r="D56" s="29" t="n">
        <f aca="false">$B$6*(1+$B$7)^(A56-1)*$B$8</f>
        <v>566.054450074401</v>
      </c>
      <c r="E56" s="29" t="n">
        <f aca="false">$B$10*(1+$B$11)^(A56-1)*$B$12</f>
        <v>38.3617871921754</v>
      </c>
      <c r="F56" s="26" t="n">
        <f aca="false">'Player Stats Curve'!$C$34</f>
        <v>66.7190077619069</v>
      </c>
      <c r="G56" s="29" t="n">
        <f aca="false">IF(F56=0,"—",CEILING(D56/F56,1))</f>
        <v>9</v>
      </c>
      <c r="H56" s="30" t="n">
        <f aca="false">D56/$D$19</f>
        <v>14.15136125186</v>
      </c>
      <c r="I56" s="53"/>
      <c r="K56" s="31"/>
    </row>
    <row r="57" customFormat="false" ht="15" hidden="false" customHeight="true" outlineLevel="0" collapsed="false">
      <c r="A57" s="32" t="n">
        <v>20</v>
      </c>
      <c r="B57" s="33" t="n">
        <f aca="false">CEILING(A57/$B$15,1)</f>
        <v>4</v>
      </c>
      <c r="C57" s="54" t="s">
        <v>338</v>
      </c>
      <c r="D57" s="33" t="n">
        <f aca="false">$B$6*(1+$B$7)^(A57-1)</f>
        <v>205.666450193699</v>
      </c>
      <c r="E57" s="33" t="n">
        <f aca="false">$B$10*(1+$B$11)^(A57-1)</f>
        <v>25.8942063547184</v>
      </c>
      <c r="F57" s="55" t="n">
        <f aca="false">'Player Stats Curve'!$C$35</f>
        <v>73.3909085380976</v>
      </c>
      <c r="G57" s="33" t="n">
        <f aca="false">IF(F57=0,"—",CEILING(D57/F57,1))</f>
        <v>3</v>
      </c>
      <c r="H57" s="34" t="n">
        <f aca="false">D57/$D$19</f>
        <v>5.14166125484248</v>
      </c>
      <c r="I57" s="54"/>
      <c r="J57" s="36"/>
      <c r="K57" s="35"/>
    </row>
    <row r="58" customFormat="false" ht="15" hidden="false" customHeight="true" outlineLevel="0" collapsed="false">
      <c r="A58" s="32" t="n">
        <v>20</v>
      </c>
      <c r="B58" s="33" t="n">
        <f aca="false">CEILING(A58/$B$15,1)</f>
        <v>4</v>
      </c>
      <c r="C58" s="54" t="s">
        <v>340</v>
      </c>
      <c r="D58" s="33" t="n">
        <f aca="false">$B$6*(1+$B$7)^(A58-1)*$B$8</f>
        <v>616.999350581097</v>
      </c>
      <c r="E58" s="33" t="n">
        <f aca="false">$B$10*(1+$B$11)^(A58-1)*$B$12</f>
        <v>41.4307301675494</v>
      </c>
      <c r="F58" s="55" t="n">
        <f aca="false">'Player Stats Curve'!$C$35</f>
        <v>73.3909085380976</v>
      </c>
      <c r="G58" s="33" t="n">
        <f aca="false">IF(F58=0,"—",CEILING(D58/F58,1))</f>
        <v>9</v>
      </c>
      <c r="H58" s="34" t="n">
        <f aca="false">D58/$D$19</f>
        <v>15.4249837645274</v>
      </c>
      <c r="I58" s="54"/>
      <c r="J58" s="36"/>
      <c r="K58" s="35"/>
    </row>
    <row r="59" customFormat="false" ht="15" hidden="false" customHeight="true" outlineLevel="0" collapsed="false">
      <c r="A59" s="28" t="n">
        <v>21</v>
      </c>
      <c r="B59" s="29" t="n">
        <f aca="false">CEILING(A59/$B$15,1)</f>
        <v>4</v>
      </c>
      <c r="C59" s="53" t="s">
        <v>338</v>
      </c>
      <c r="D59" s="29" t="n">
        <f aca="false">$B$6*(1+$B$7)^(A59-1)</f>
        <v>224.176430711132</v>
      </c>
      <c r="E59" s="29" t="n">
        <f aca="false">$B$10*(1+$B$11)^(A59-1)</f>
        <v>27.9657428630958</v>
      </c>
      <c r="F59" s="26" t="n">
        <f aca="false">'Player Stats Curve'!$C$36</f>
        <v>80.7299993919073</v>
      </c>
      <c r="G59" s="29" t="n">
        <f aca="false">IF(F59=0,"—",CEILING(D59/F59,1))</f>
        <v>3</v>
      </c>
      <c r="H59" s="30" t="n">
        <f aca="false">D59/$D$19</f>
        <v>5.6044107677783</v>
      </c>
      <c r="I59" s="53"/>
      <c r="K59" s="31"/>
    </row>
    <row r="60" customFormat="false" ht="15" hidden="false" customHeight="true" outlineLevel="0" collapsed="false">
      <c r="A60" s="28" t="n">
        <v>21</v>
      </c>
      <c r="B60" s="29" t="n">
        <f aca="false">CEILING(A60/$B$15,1)</f>
        <v>4</v>
      </c>
      <c r="C60" s="53" t="s">
        <v>340</v>
      </c>
      <c r="D60" s="29" t="n">
        <f aca="false">$B$6*(1+$B$7)^(A60-1)*$B$8</f>
        <v>672.529292133396</v>
      </c>
      <c r="E60" s="29" t="n">
        <f aca="false">$B$10*(1+$B$11)^(A60-1)*$B$12</f>
        <v>44.7451885809534</v>
      </c>
      <c r="F60" s="26" t="n">
        <f aca="false">'Player Stats Curve'!$C$36</f>
        <v>80.7299993919073</v>
      </c>
      <c r="G60" s="29" t="n">
        <f aca="false">IF(F60=0,"—",CEILING(D60/F60,1))</f>
        <v>9</v>
      </c>
      <c r="H60" s="30" t="n">
        <f aca="false">D60/$D$19</f>
        <v>16.8132323033349</v>
      </c>
      <c r="I60" s="53"/>
      <c r="K60" s="31"/>
    </row>
    <row r="61" customFormat="false" ht="15" hidden="false" customHeight="true" outlineLevel="0" collapsed="false">
      <c r="A61" s="32" t="n">
        <v>22</v>
      </c>
      <c r="B61" s="33" t="n">
        <f aca="false">CEILING(A61/$B$15,1)</f>
        <v>4</v>
      </c>
      <c r="C61" s="54" t="s">
        <v>338</v>
      </c>
      <c r="D61" s="33" t="n">
        <f aca="false">$B$6*(1+$B$7)^(A61-1)</f>
        <v>244.352309475134</v>
      </c>
      <c r="E61" s="33" t="n">
        <f aca="false">$B$10*(1+$B$11)^(A61-1)</f>
        <v>30.2030022921435</v>
      </c>
      <c r="F61" s="55" t="n">
        <f aca="false">'Player Stats Curve'!$C$37</f>
        <v>88.8029993310981</v>
      </c>
      <c r="G61" s="33" t="n">
        <f aca="false">IF(F61=0,"—",CEILING(D61/F61,1))</f>
        <v>3</v>
      </c>
      <c r="H61" s="34" t="n">
        <f aca="false">D61/$D$19</f>
        <v>6.10880773687835</v>
      </c>
      <c r="I61" s="54"/>
      <c r="J61" s="36"/>
      <c r="K61" s="35"/>
    </row>
    <row r="62" customFormat="false" ht="15" hidden="false" customHeight="true" outlineLevel="0" collapsed="false">
      <c r="A62" s="32" t="n">
        <v>22</v>
      </c>
      <c r="B62" s="33" t="n">
        <f aca="false">CEILING(A62/$B$15,1)</f>
        <v>4</v>
      </c>
      <c r="C62" s="54" t="s">
        <v>340</v>
      </c>
      <c r="D62" s="33" t="n">
        <f aca="false">$B$6*(1+$B$7)^(A62-1)*$B$8</f>
        <v>733.056928425402</v>
      </c>
      <c r="E62" s="33" t="n">
        <f aca="false">$B$10*(1+$B$11)^(A62-1)*$B$12</f>
        <v>48.3248036674296</v>
      </c>
      <c r="F62" s="55" t="n">
        <f aca="false">'Player Stats Curve'!$C$37</f>
        <v>88.8029993310981</v>
      </c>
      <c r="G62" s="33" t="n">
        <f aca="false">IF(F62=0,"—",CEILING(D62/F62,1))</f>
        <v>9</v>
      </c>
      <c r="H62" s="34" t="n">
        <f aca="false">D62/$D$19</f>
        <v>18.326423210635</v>
      </c>
      <c r="I62" s="54"/>
      <c r="J62" s="36"/>
      <c r="K62" s="35"/>
    </row>
    <row r="63" customFormat="false" ht="15" hidden="false" customHeight="true" outlineLevel="0" collapsed="false">
      <c r="A63" s="28" t="n">
        <v>23</v>
      </c>
      <c r="B63" s="29" t="n">
        <f aca="false">CEILING(A63/$B$15,1)</f>
        <v>4</v>
      </c>
      <c r="C63" s="53" t="s">
        <v>338</v>
      </c>
      <c r="D63" s="29" t="n">
        <f aca="false">$B$6*(1+$B$7)^(A63-1)</f>
        <v>266.344017327896</v>
      </c>
      <c r="E63" s="29" t="n">
        <f aca="false">$B$10*(1+$B$11)^(A63-1)</f>
        <v>32.619242475515</v>
      </c>
      <c r="F63" s="26" t="n">
        <f aca="false">'Player Stats Curve'!$C$38</f>
        <v>97.6832992642079</v>
      </c>
      <c r="G63" s="29" t="n">
        <f aca="false">IF(F63=0,"—",CEILING(D63/F63,1))</f>
        <v>3</v>
      </c>
      <c r="H63" s="30" t="n">
        <f aca="false">D63/$D$19</f>
        <v>6.6586004331974</v>
      </c>
      <c r="I63" s="53"/>
      <c r="K63" s="31"/>
    </row>
    <row r="64" customFormat="false" ht="15" hidden="false" customHeight="true" outlineLevel="0" collapsed="false">
      <c r="A64" s="28" t="n">
        <v>23</v>
      </c>
      <c r="B64" s="29" t="n">
        <f aca="false">CEILING(A64/$B$15,1)</f>
        <v>4</v>
      </c>
      <c r="C64" s="53" t="s">
        <v>340</v>
      </c>
      <c r="D64" s="29" t="n">
        <f aca="false">$B$6*(1+$B$7)^(A64-1)*$B$8</f>
        <v>799.032051983688</v>
      </c>
      <c r="E64" s="29" t="n">
        <f aca="false">$B$10*(1+$B$11)^(A64-1)*$B$12</f>
        <v>52.190787960824</v>
      </c>
      <c r="F64" s="26" t="n">
        <f aca="false">'Player Stats Curve'!$C$38</f>
        <v>97.6832992642079</v>
      </c>
      <c r="G64" s="29" t="n">
        <f aca="false">IF(F64=0,"—",CEILING(D64/F64,1))</f>
        <v>9</v>
      </c>
      <c r="H64" s="30" t="n">
        <f aca="false">D64/$D$19</f>
        <v>19.9758012995922</v>
      </c>
      <c r="I64" s="53"/>
      <c r="K64" s="31"/>
    </row>
    <row r="65" customFormat="false" ht="15" hidden="false" customHeight="true" outlineLevel="0" collapsed="false">
      <c r="A65" s="32" t="n">
        <v>24</v>
      </c>
      <c r="B65" s="33" t="n">
        <f aca="false">CEILING(A65/$B$15,1)</f>
        <v>4</v>
      </c>
      <c r="C65" s="54" t="s">
        <v>338</v>
      </c>
      <c r="D65" s="33" t="n">
        <f aca="false">$B$6*(1+$B$7)^(A65-1)</f>
        <v>290.314978887407</v>
      </c>
      <c r="E65" s="33" t="n">
        <f aca="false">$B$10*(1+$B$11)^(A65-1)</f>
        <v>35.2287818735562</v>
      </c>
      <c r="F65" s="55" t="n">
        <f aca="false">'Player Stats Curve'!$C$39</f>
        <v>107.451629190629</v>
      </c>
      <c r="G65" s="33" t="n">
        <f aca="false">IF(F65=0,"—",CEILING(D65/F65,1))</f>
        <v>3</v>
      </c>
      <c r="H65" s="34" t="n">
        <f aca="false">D65/$D$19</f>
        <v>7.25787447218517</v>
      </c>
      <c r="I65" s="54"/>
      <c r="J65" s="36"/>
      <c r="K65" s="35"/>
    </row>
    <row r="66" customFormat="false" ht="15" hidden="false" customHeight="true" outlineLevel="0" collapsed="false">
      <c r="A66" s="32" t="n">
        <v>24</v>
      </c>
      <c r="B66" s="33" t="n">
        <f aca="false">CEILING(A66/$B$15,1)</f>
        <v>4</v>
      </c>
      <c r="C66" s="54" t="s">
        <v>342</v>
      </c>
      <c r="D66" s="33" t="n">
        <f aca="false">$B$6*(1+$B$7)^(A66-1)*$B$9</f>
        <v>2322.51983109925</v>
      </c>
      <c r="E66" s="33" t="n">
        <f aca="false">$B$10*(1+$B$11)^(A66-1)*$B$13</f>
        <v>88.0719546838905</v>
      </c>
      <c r="F66" s="55" t="n">
        <f aca="false">'Player Stats Curve'!$C$39</f>
        <v>107.451629190629</v>
      </c>
      <c r="G66" s="33" t="n">
        <f aca="false">IF(F66=0,"—",CEILING(D66/F66,1))</f>
        <v>22</v>
      </c>
      <c r="H66" s="34" t="n">
        <f aca="false">D66/$D$19</f>
        <v>58.0629957774813</v>
      </c>
      <c r="I66" s="54" t="s">
        <v>372</v>
      </c>
      <c r="J66" s="36"/>
      <c r="K66" s="35" t="s">
        <v>359</v>
      </c>
    </row>
    <row r="67" customFormat="false" ht="15" hidden="false" customHeight="true" outlineLevel="0" collapsed="false">
      <c r="A67" s="28" t="n">
        <v>25</v>
      </c>
      <c r="B67" s="29" t="n">
        <f aca="false">CEILING(A67/$B$15,1)</f>
        <v>5</v>
      </c>
      <c r="C67" s="53" t="s">
        <v>338</v>
      </c>
      <c r="D67" s="29" t="n">
        <f aca="false">$B$6*(1+$B$7)^(A67-1)</f>
        <v>316.443326987273</v>
      </c>
      <c r="E67" s="29" t="n">
        <f aca="false">$B$10*(1+$B$11)^(A67-1)</f>
        <v>38.0470844234407</v>
      </c>
      <c r="F67" s="26" t="n">
        <f aca="false">'Player Stats Curve'!$C$40</f>
        <v>118.196792109692</v>
      </c>
      <c r="G67" s="29" t="n">
        <f aca="false">IF(F67=0,"—",CEILING(D67/F67,1))</f>
        <v>3</v>
      </c>
      <c r="H67" s="30" t="n">
        <f aca="false">D67/$D$19</f>
        <v>7.91108317468183</v>
      </c>
      <c r="I67" s="53"/>
      <c r="K67" s="31"/>
    </row>
    <row r="68" customFormat="false" ht="15" hidden="false" customHeight="true" outlineLevel="0" collapsed="false">
      <c r="A68" s="28" t="n">
        <v>25</v>
      </c>
      <c r="B68" s="29" t="n">
        <f aca="false">CEILING(A68/$B$15,1)</f>
        <v>5</v>
      </c>
      <c r="C68" s="53" t="s">
        <v>340</v>
      </c>
      <c r="D68" s="29" t="n">
        <f aca="false">$B$6*(1+$B$7)^(A68-1)*$B$8</f>
        <v>949.32998096182</v>
      </c>
      <c r="E68" s="29" t="n">
        <f aca="false">$B$10*(1+$B$11)^(A68-1)*$B$12</f>
        <v>60.8753350775051</v>
      </c>
      <c r="F68" s="26" t="n">
        <f aca="false">'Player Stats Curve'!$C$40</f>
        <v>118.196792109692</v>
      </c>
      <c r="G68" s="29" t="n">
        <f aca="false">IF(F68=0,"—",CEILING(D68/F68,1))</f>
        <v>9</v>
      </c>
      <c r="H68" s="30" t="n">
        <f aca="false">D68/$D$19</f>
        <v>23.7332495240455</v>
      </c>
      <c r="I68" s="53"/>
      <c r="K68" s="31"/>
    </row>
    <row r="69" customFormat="false" ht="15" hidden="false" customHeight="true" outlineLevel="0" collapsed="false">
      <c r="A69" s="32" t="n">
        <v>26</v>
      </c>
      <c r="B69" s="33" t="n">
        <f aca="false">CEILING(A69/$B$15,1)</f>
        <v>5</v>
      </c>
      <c r="C69" s="54" t="s">
        <v>338</v>
      </c>
      <c r="D69" s="33" t="n">
        <f aca="false">$B$6*(1+$B$7)^(A69-1)</f>
        <v>344.923226416128</v>
      </c>
      <c r="E69" s="33" t="n">
        <f aca="false">$B$10*(1+$B$11)^(A69-1)</f>
        <v>41.090851177316</v>
      </c>
      <c r="F69" s="55" t="n">
        <f aca="false">'Player Stats Curve'!$C$41</f>
        <v>130.016471320661</v>
      </c>
      <c r="G69" s="33" t="n">
        <f aca="false">IF(F69=0,"—",CEILING(D69/F69,1))</f>
        <v>3</v>
      </c>
      <c r="H69" s="34" t="n">
        <f aca="false">D69/$D$19</f>
        <v>8.6230806604032</v>
      </c>
      <c r="I69" s="54"/>
      <c r="J69" s="36"/>
      <c r="K69" s="35"/>
    </row>
    <row r="70" customFormat="false" ht="15" hidden="false" customHeight="true" outlineLevel="0" collapsed="false">
      <c r="A70" s="32" t="n">
        <v>26</v>
      </c>
      <c r="B70" s="33" t="n">
        <f aca="false">CEILING(A70/$B$15,1)</f>
        <v>5</v>
      </c>
      <c r="C70" s="54" t="s">
        <v>340</v>
      </c>
      <c r="D70" s="33" t="n">
        <f aca="false">$B$6*(1+$B$7)^(A70-1)*$B$8</f>
        <v>1034.76967924838</v>
      </c>
      <c r="E70" s="33" t="n">
        <f aca="false">$B$10*(1+$B$11)^(A70-1)*$B$12</f>
        <v>65.7453618837056</v>
      </c>
      <c r="F70" s="55" t="n">
        <f aca="false">'Player Stats Curve'!$C$41</f>
        <v>130.016471320661</v>
      </c>
      <c r="G70" s="33" t="n">
        <f aca="false">IF(F70=0,"—",CEILING(D70/F70,1))</f>
        <v>8</v>
      </c>
      <c r="H70" s="34" t="n">
        <f aca="false">D70/$D$19</f>
        <v>25.8692419812096</v>
      </c>
      <c r="I70" s="54"/>
      <c r="J70" s="36"/>
      <c r="K70" s="35"/>
    </row>
    <row r="71" customFormat="false" ht="15" hidden="false" customHeight="true" outlineLevel="0" collapsed="false">
      <c r="A71" s="28" t="n">
        <v>27</v>
      </c>
      <c r="B71" s="29" t="n">
        <f aca="false">CEILING(A71/$B$15,1)</f>
        <v>5</v>
      </c>
      <c r="C71" s="53" t="s">
        <v>338</v>
      </c>
      <c r="D71" s="29" t="n">
        <f aca="false">$B$6*(1+$B$7)^(A71-1)</f>
        <v>375.966316793579</v>
      </c>
      <c r="E71" s="29" t="n">
        <f aca="false">$B$10*(1+$B$11)^(A71-1)</f>
        <v>44.3781192715012</v>
      </c>
      <c r="F71" s="26" t="n">
        <f aca="false">'Player Stats Curve'!$C$42</f>
        <v>143.018118452727</v>
      </c>
      <c r="G71" s="29" t="n">
        <f aca="false">IF(F71=0,"—",CEILING(D71/F71,1))</f>
        <v>3</v>
      </c>
      <c r="H71" s="30" t="n">
        <f aca="false">D71/$D$19</f>
        <v>9.39915791983949</v>
      </c>
      <c r="I71" s="53"/>
      <c r="K71" s="31"/>
    </row>
    <row r="72" customFormat="false" ht="15" hidden="false" customHeight="true" outlineLevel="0" collapsed="false">
      <c r="A72" s="28" t="n">
        <v>27</v>
      </c>
      <c r="B72" s="29" t="n">
        <f aca="false">CEILING(A72/$B$15,1)</f>
        <v>5</v>
      </c>
      <c r="C72" s="53" t="s">
        <v>340</v>
      </c>
      <c r="D72" s="29" t="n">
        <f aca="false">$B$6*(1+$B$7)^(A72-1)*$B$8</f>
        <v>1127.89895038074</v>
      </c>
      <c r="E72" s="29" t="n">
        <f aca="false">$B$10*(1+$B$11)^(A72-1)*$B$12</f>
        <v>71.004990834402</v>
      </c>
      <c r="F72" s="26" t="n">
        <f aca="false">'Player Stats Curve'!$C$42</f>
        <v>143.018118452727</v>
      </c>
      <c r="G72" s="29" t="n">
        <f aca="false">IF(F72=0,"—",CEILING(D72/F72,1))</f>
        <v>8</v>
      </c>
      <c r="H72" s="30" t="n">
        <f aca="false">D72/$D$19</f>
        <v>28.1974737595185</v>
      </c>
      <c r="I72" s="53"/>
      <c r="K72" s="31"/>
    </row>
    <row r="73" customFormat="false" ht="15" hidden="false" customHeight="true" outlineLevel="0" collapsed="false">
      <c r="A73" s="32" t="n">
        <v>28</v>
      </c>
      <c r="B73" s="33" t="n">
        <f aca="false">CEILING(A73/$B$15,1)</f>
        <v>5</v>
      </c>
      <c r="C73" s="54" t="s">
        <v>338</v>
      </c>
      <c r="D73" s="33" t="n">
        <f aca="false">$B$6*(1+$B$7)^(A73-1)</f>
        <v>409.803285305002</v>
      </c>
      <c r="E73" s="33" t="n">
        <f aca="false">$B$10*(1+$B$11)^(A73-1)</f>
        <v>47.9283688132214</v>
      </c>
      <c r="F73" s="55" t="n">
        <f aca="false">'Player Stats Curve'!$C$43</f>
        <v>157.319930298</v>
      </c>
      <c r="G73" s="33" t="n">
        <f aca="false">IF(F73=0,"—",CEILING(D73/F73,1))</f>
        <v>3</v>
      </c>
      <c r="H73" s="34" t="n">
        <f aca="false">D73/$D$19</f>
        <v>10.245082132625</v>
      </c>
      <c r="I73" s="54"/>
      <c r="J73" s="36"/>
      <c r="K73" s="35"/>
    </row>
    <row r="74" customFormat="false" ht="15" hidden="false" customHeight="true" outlineLevel="0" collapsed="false">
      <c r="A74" s="32" t="n">
        <v>28</v>
      </c>
      <c r="B74" s="33" t="n">
        <f aca="false">CEILING(A74/$B$15,1)</f>
        <v>5</v>
      </c>
      <c r="C74" s="54" t="s">
        <v>340</v>
      </c>
      <c r="D74" s="33" t="n">
        <f aca="false">$B$6*(1+$B$7)^(A74-1)*$B$8</f>
        <v>1229.409855915</v>
      </c>
      <c r="E74" s="33" t="n">
        <f aca="false">$B$10*(1+$B$11)^(A74-1)*$B$12</f>
        <v>76.6853901011542</v>
      </c>
      <c r="F74" s="55" t="n">
        <f aca="false">'Player Stats Curve'!$C$43</f>
        <v>157.319930298</v>
      </c>
      <c r="G74" s="33" t="n">
        <f aca="false">IF(F74=0,"—",CEILING(D74/F74,1))</f>
        <v>8</v>
      </c>
      <c r="H74" s="34" t="n">
        <f aca="false">D74/$D$19</f>
        <v>30.7352463978751</v>
      </c>
      <c r="I74" s="54"/>
      <c r="J74" s="36"/>
      <c r="K74" s="35"/>
    </row>
    <row r="75" customFormat="false" ht="15" hidden="false" customHeight="true" outlineLevel="0" collapsed="false">
      <c r="A75" s="28" t="n">
        <v>29</v>
      </c>
      <c r="B75" s="29" t="n">
        <f aca="false">CEILING(A75/$B$15,1)</f>
        <v>5</v>
      </c>
      <c r="C75" s="53" t="s">
        <v>338</v>
      </c>
      <c r="D75" s="29" t="n">
        <f aca="false">$B$6*(1+$B$7)^(A75-1)</f>
        <v>446.685580982452</v>
      </c>
      <c r="E75" s="29" t="n">
        <f aca="false">$B$10*(1+$B$11)^(A75-1)</f>
        <v>51.7626383182791</v>
      </c>
      <c r="F75" s="26" t="n">
        <f aca="false">'Player Stats Curve'!$C$44</f>
        <v>173.051923327799</v>
      </c>
      <c r="G75" s="29" t="n">
        <f aca="false">IF(F75=0,"—",CEILING(D75/F75,1))</f>
        <v>3</v>
      </c>
      <c r="H75" s="30" t="n">
        <f aca="false">D75/$D$19</f>
        <v>11.1671395245613</v>
      </c>
      <c r="I75" s="53"/>
      <c r="K75" s="31"/>
    </row>
    <row r="76" customFormat="false" ht="15" hidden="false" customHeight="true" outlineLevel="0" collapsed="false">
      <c r="A76" s="28" t="n">
        <v>29</v>
      </c>
      <c r="B76" s="29" t="n">
        <f aca="false">CEILING(A76/$B$15,1)</f>
        <v>5</v>
      </c>
      <c r="C76" s="53" t="s">
        <v>340</v>
      </c>
      <c r="D76" s="29" t="n">
        <f aca="false">$B$6*(1+$B$7)^(A76-1)*$B$8</f>
        <v>1340.05674294736</v>
      </c>
      <c r="E76" s="29" t="n">
        <f aca="false">$B$10*(1+$B$11)^(A76-1)*$B$12</f>
        <v>82.8202213092465</v>
      </c>
      <c r="F76" s="26" t="n">
        <f aca="false">'Player Stats Curve'!$C$44</f>
        <v>173.051923327799</v>
      </c>
      <c r="G76" s="29" t="n">
        <f aca="false">IF(F76=0,"—",CEILING(D76/F76,1))</f>
        <v>8</v>
      </c>
      <c r="H76" s="30" t="n">
        <f aca="false">D76/$D$19</f>
        <v>33.5014185736839</v>
      </c>
      <c r="I76" s="53"/>
      <c r="K76" s="31"/>
    </row>
    <row r="77" customFormat="false" ht="15" hidden="false" customHeight="true" outlineLevel="0" collapsed="false">
      <c r="A77" s="32" t="n">
        <v>30</v>
      </c>
      <c r="B77" s="33" t="n">
        <f aca="false">CEILING(A77/$B$15,1)</f>
        <v>5</v>
      </c>
      <c r="C77" s="54" t="s">
        <v>338</v>
      </c>
      <c r="D77" s="33" t="n">
        <f aca="false">$B$6*(1+$B$7)^(A77-1)</f>
        <v>486.887283270872</v>
      </c>
      <c r="E77" s="33" t="n">
        <f aca="false">$B$10*(1+$B$11)^(A77-1)</f>
        <v>55.9036493837414</v>
      </c>
      <c r="F77" s="55" t="n">
        <f aca="false">'Player Stats Curve'!$C$45</f>
        <v>190.357115660579</v>
      </c>
      <c r="G77" s="33" t="n">
        <f aca="false">IF(F77=0,"—",CEILING(D77/F77,1))</f>
        <v>3</v>
      </c>
      <c r="H77" s="34" t="n">
        <f aca="false">D77/$D$19</f>
        <v>12.1721820817718</v>
      </c>
      <c r="I77" s="54"/>
      <c r="J77" s="36"/>
      <c r="K77" s="35"/>
    </row>
    <row r="78" customFormat="false" ht="15" hidden="false" customHeight="true" outlineLevel="0" collapsed="false">
      <c r="A78" s="32" t="n">
        <v>30</v>
      </c>
      <c r="B78" s="33" t="n">
        <f aca="false">CEILING(A78/$B$15,1)</f>
        <v>5</v>
      </c>
      <c r="C78" s="54" t="s">
        <v>342</v>
      </c>
      <c r="D78" s="33" t="n">
        <f aca="false">$B$6*(1+$B$7)^(A78-1)*$B$9</f>
        <v>3895.09826616698</v>
      </c>
      <c r="E78" s="33" t="n">
        <f aca="false">$B$10*(1+$B$11)^(A78-1)*$B$13</f>
        <v>139.759123459353</v>
      </c>
      <c r="F78" s="55" t="n">
        <f aca="false">'Player Stats Curve'!$C$45</f>
        <v>190.357115660579</v>
      </c>
      <c r="G78" s="33" t="n">
        <f aca="false">IF(F78=0,"—",CEILING(D78/F78,1))</f>
        <v>21</v>
      </c>
      <c r="H78" s="34" t="n">
        <f aca="false">D78/$D$19</f>
        <v>97.3774566541745</v>
      </c>
      <c r="I78" s="54" t="s">
        <v>372</v>
      </c>
      <c r="J78" s="36"/>
      <c r="K78" s="35" t="s">
        <v>360</v>
      </c>
    </row>
    <row r="79" customFormat="false" ht="21.75" hidden="false" customHeight="true" outlineLevel="0" collapsed="false">
      <c r="A79" s="9" t="s">
        <v>329</v>
      </c>
      <c r="B79" s="9"/>
      <c r="C79" s="9"/>
      <c r="D79" s="9"/>
      <c r="E79" s="9"/>
      <c r="F79" s="9"/>
      <c r="G79" s="9"/>
      <c r="H79" s="9"/>
      <c r="I79" s="9"/>
      <c r="J79" s="9"/>
      <c r="K79" s="9"/>
    </row>
    <row r="80" customFormat="false" ht="15" hidden="false" customHeight="true" outlineLevel="0" collapsed="false">
      <c r="A80" s="38" t="s">
        <v>373</v>
      </c>
      <c r="B80" s="38"/>
      <c r="C80" s="38"/>
      <c r="D80" s="38"/>
      <c r="E80" s="38"/>
      <c r="F80" s="56" t="n">
        <f aca="false">AVERAGE(G19:G78)</f>
        <v>7.5</v>
      </c>
    </row>
    <row r="81" customFormat="false" ht="15" hidden="false" customHeight="true" outlineLevel="0" collapsed="false">
      <c r="A81" s="38" t="s">
        <v>374</v>
      </c>
      <c r="B81" s="38"/>
      <c r="C81" s="38"/>
      <c r="D81" s="38"/>
      <c r="E81" s="38"/>
      <c r="F81" s="57" t="n">
        <f aca="false">MAX(G19:G78)</f>
        <v>26</v>
      </c>
    </row>
  </sheetData>
  <mergeCells count="7">
    <mergeCell ref="A1:K1"/>
    <mergeCell ref="A2:K2"/>
    <mergeCell ref="A4:K4"/>
    <mergeCell ref="A17:K17"/>
    <mergeCell ref="A79:K79"/>
    <mergeCell ref="A80:E80"/>
    <mergeCell ref="A81:E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9" min="3" style="1" width="14"/>
    <col collapsed="false" customWidth="true" hidden="false" outlineLevel="0" max="10" min="10" style="1" width="36"/>
  </cols>
  <sheetData>
    <row r="1" customFormat="false" ht="19.5" hidden="false" customHeight="true" outlineLevel="0" collapsed="false">
      <c r="A1" s="2" t="s">
        <v>375</v>
      </c>
      <c r="B1" s="2"/>
      <c r="C1" s="2"/>
      <c r="D1" s="2"/>
      <c r="E1" s="2"/>
      <c r="F1" s="2"/>
      <c r="G1" s="2"/>
      <c r="H1" s="2"/>
      <c r="I1" s="2"/>
      <c r="J1" s="2"/>
    </row>
    <row r="2" customFormat="false" ht="15" hidden="false" customHeight="true" outlineLevel="0" collapsed="false">
      <c r="A2" s="3" t="s">
        <v>376</v>
      </c>
      <c r="B2" s="3"/>
      <c r="C2" s="3"/>
      <c r="D2" s="3"/>
      <c r="E2" s="3"/>
      <c r="F2" s="3"/>
      <c r="G2" s="3"/>
      <c r="H2" s="3"/>
      <c r="I2" s="3"/>
      <c r="J2" s="3"/>
    </row>
    <row r="4" customFormat="false" ht="21.75" hidden="false" customHeight="true" outlineLevel="0" collapsed="false">
      <c r="A4" s="9" t="s">
        <v>288</v>
      </c>
      <c r="B4" s="9"/>
      <c r="C4" s="9"/>
      <c r="D4" s="9"/>
      <c r="E4" s="9"/>
      <c r="F4" s="9"/>
      <c r="G4" s="9"/>
      <c r="H4" s="9"/>
      <c r="I4" s="9"/>
      <c r="J4" s="9"/>
    </row>
    <row r="5" customFormat="false" ht="15" hidden="false" customHeight="true" outlineLevel="0" collapsed="false">
      <c r="A5" s="8" t="s">
        <v>289</v>
      </c>
      <c r="B5" s="8" t="s">
        <v>75</v>
      </c>
    </row>
    <row r="6" customFormat="false" ht="15" hidden="false" customHeight="true" outlineLevel="0" collapsed="false">
      <c r="A6" s="25" t="s">
        <v>160</v>
      </c>
      <c r="B6" s="26" t="n">
        <f aca="false">Assumptions!$C$44</f>
        <v>8</v>
      </c>
    </row>
    <row r="7" customFormat="false" ht="15" hidden="false" customHeight="true" outlineLevel="0" collapsed="false">
      <c r="A7" s="25" t="s">
        <v>163</v>
      </c>
      <c r="B7" s="26" t="n">
        <f aca="false">Assumptions!$C$45</f>
        <v>25</v>
      </c>
    </row>
    <row r="8" customFormat="false" ht="15" hidden="false" customHeight="true" outlineLevel="0" collapsed="false">
      <c r="A8" s="25" t="s">
        <v>165</v>
      </c>
      <c r="B8" s="26" t="n">
        <f aca="false">Assumptions!$C$46</f>
        <v>120</v>
      </c>
    </row>
    <row r="9" customFormat="false" ht="15" hidden="false" customHeight="true" outlineLevel="0" collapsed="false">
      <c r="A9" s="25" t="s">
        <v>167</v>
      </c>
      <c r="B9" s="26" t="n">
        <f aca="false">Assumptions!$C$47</f>
        <v>1</v>
      </c>
    </row>
    <row r="10" customFormat="false" ht="15" hidden="false" customHeight="true" outlineLevel="0" collapsed="false">
      <c r="A10" s="25" t="s">
        <v>170</v>
      </c>
      <c r="B10" s="26" t="n">
        <f aca="false">Assumptions!$C$48</f>
        <v>3</v>
      </c>
    </row>
    <row r="11" customFormat="false" ht="15" hidden="false" customHeight="true" outlineLevel="0" collapsed="false">
      <c r="A11" s="25" t="s">
        <v>171</v>
      </c>
      <c r="B11" s="26" t="n">
        <f aca="false">Assumptions!$C$49</f>
        <v>10</v>
      </c>
    </row>
    <row r="12" customFormat="false" ht="15" hidden="false" customHeight="true" outlineLevel="0" collapsed="false">
      <c r="A12" s="25" t="s">
        <v>187</v>
      </c>
      <c r="B12" s="26" t="n">
        <f aca="false">Assumptions!$C$58</f>
        <v>50</v>
      </c>
    </row>
    <row r="13" customFormat="false" ht="15" hidden="false" customHeight="true" outlineLevel="0" collapsed="false">
      <c r="A13" s="25" t="s">
        <v>184</v>
      </c>
      <c r="B13" s="27" t="n">
        <f aca="false">Assumptions!$C$57</f>
        <v>0.005</v>
      </c>
    </row>
    <row r="14" customFormat="false" ht="15" hidden="false" customHeight="true" outlineLevel="0" collapsed="false">
      <c r="A14" s="25" t="s">
        <v>178</v>
      </c>
      <c r="B14" s="26" t="n">
        <f aca="false">Assumptions!$C$53</f>
        <v>6</v>
      </c>
    </row>
    <row r="15" customFormat="false" ht="15" hidden="false" customHeight="true" outlineLevel="0" collapsed="false">
      <c r="A15" s="25" t="s">
        <v>79</v>
      </c>
      <c r="B15" s="26" t="n">
        <f aca="false">Assumptions!$C$6</f>
        <v>30</v>
      </c>
    </row>
    <row r="17" customFormat="false" ht="21.75" hidden="false" customHeight="true" outlineLevel="0" collapsed="false">
      <c r="A17" s="9" t="s">
        <v>377</v>
      </c>
      <c r="B17" s="9"/>
      <c r="C17" s="9"/>
      <c r="D17" s="9"/>
      <c r="E17" s="9"/>
      <c r="F17" s="9"/>
      <c r="G17" s="9"/>
      <c r="H17" s="9"/>
      <c r="I17" s="9"/>
      <c r="J17" s="9"/>
    </row>
    <row r="18" customFormat="false" ht="27.75" hidden="false" customHeight="true" outlineLevel="0" collapsed="false">
      <c r="A18" s="8" t="s">
        <v>291</v>
      </c>
      <c r="B18" s="8" t="s">
        <v>370</v>
      </c>
      <c r="C18" s="8" t="s">
        <v>347</v>
      </c>
      <c r="D18" s="8" t="s">
        <v>348</v>
      </c>
      <c r="E18" s="8" t="s">
        <v>378</v>
      </c>
      <c r="F18" s="8" t="s">
        <v>379</v>
      </c>
      <c r="G18" s="8" t="s">
        <v>380</v>
      </c>
      <c r="H18" s="8" t="s">
        <v>381</v>
      </c>
      <c r="I18" s="8" t="s">
        <v>382</v>
      </c>
      <c r="J18" s="8" t="s">
        <v>297</v>
      </c>
    </row>
    <row r="19" customFormat="false" ht="15" hidden="false" customHeight="true" outlineLevel="0" collapsed="false">
      <c r="A19" s="28" t="n">
        <v>1</v>
      </c>
      <c r="B19" s="53"/>
      <c r="C19" s="44" t="n">
        <f aca="false">'Drop Rates'!$C$19</f>
        <v>8</v>
      </c>
      <c r="D19" s="44" t="n">
        <f aca="false">'Drop Rates'!$D$19</f>
        <v>1.5</v>
      </c>
      <c r="E19" s="29" t="n">
        <f aca="false">C19*$B$6+D19*$B$7+IF(MOD(A19,$B$14)=0,1,0)*$B$8+$B$12</f>
        <v>151.5</v>
      </c>
      <c r="F19" s="44" t="n">
        <f aca="false">C19*Assumptions!$C$35*$B$9+D19*Assumptions!$C$37*$B$10+IF(MOD(A19,$B$14)=0,1,0)*$B$11</f>
        <v>4.525</v>
      </c>
      <c r="G19" s="29" t="n">
        <f aca="false">E19</f>
        <v>151.5</v>
      </c>
      <c r="H19" s="45" t="n">
        <f aca="false">F19</f>
        <v>4.525</v>
      </c>
      <c r="I19" s="45" t="n">
        <f aca="false">G19*$B$13</f>
        <v>0.7575</v>
      </c>
      <c r="J19" s="31"/>
    </row>
    <row r="20" customFormat="false" ht="15" hidden="false" customHeight="true" outlineLevel="0" collapsed="false">
      <c r="A20" s="32" t="n">
        <v>2</v>
      </c>
      <c r="B20" s="54"/>
      <c r="C20" s="58" t="n">
        <f aca="false">'Drop Rates'!$C$20</f>
        <v>8</v>
      </c>
      <c r="D20" s="58" t="n">
        <f aca="false">'Drop Rates'!$D$20</f>
        <v>1.5</v>
      </c>
      <c r="E20" s="33" t="n">
        <f aca="false">C20*$B$6+D20*$B$7+IF(MOD(A20,$B$14)=0,1,0)*$B$8+$B$12</f>
        <v>151.5</v>
      </c>
      <c r="F20" s="58" t="n">
        <f aca="false">C20*Assumptions!$C$35*$B$9+D20*Assumptions!$C$37*$B$10+IF(MOD(A20,$B$14)=0,1,0)*$B$11</f>
        <v>4.525</v>
      </c>
      <c r="G20" s="33" t="n">
        <f aca="false">G19+E20</f>
        <v>303</v>
      </c>
      <c r="H20" s="47" t="n">
        <f aca="false">H19+F20</f>
        <v>9.05</v>
      </c>
      <c r="I20" s="47" t="n">
        <f aca="false">G20*$B$13</f>
        <v>1.515</v>
      </c>
      <c r="J20" s="35"/>
    </row>
    <row r="21" customFormat="false" ht="15" hidden="false" customHeight="true" outlineLevel="0" collapsed="false">
      <c r="A21" s="28" t="n">
        <v>3</v>
      </c>
      <c r="B21" s="53"/>
      <c r="C21" s="44" t="n">
        <f aca="false">'Drop Rates'!$C$21</f>
        <v>8</v>
      </c>
      <c r="D21" s="44" t="n">
        <f aca="false">'Drop Rates'!$D$21</f>
        <v>1.5</v>
      </c>
      <c r="E21" s="29" t="n">
        <f aca="false">C21*$B$6+D21*$B$7+IF(MOD(A21,$B$14)=0,1,0)*$B$8+$B$12</f>
        <v>151.5</v>
      </c>
      <c r="F21" s="44" t="n">
        <f aca="false">C21*Assumptions!$C$35*$B$9+D21*Assumptions!$C$37*$B$10+IF(MOD(A21,$B$14)=0,1,0)*$B$11</f>
        <v>4.525</v>
      </c>
      <c r="G21" s="29" t="n">
        <f aca="false">G20+E21</f>
        <v>454.5</v>
      </c>
      <c r="H21" s="45" t="n">
        <f aca="false">H20+F21</f>
        <v>13.575</v>
      </c>
      <c r="I21" s="45" t="n">
        <f aca="false">G21*$B$13</f>
        <v>2.2725</v>
      </c>
      <c r="J21" s="31"/>
    </row>
    <row r="22" customFormat="false" ht="15" hidden="false" customHeight="true" outlineLevel="0" collapsed="false">
      <c r="A22" s="32" t="n">
        <v>4</v>
      </c>
      <c r="B22" s="54"/>
      <c r="C22" s="58" t="n">
        <f aca="false">'Drop Rates'!$C$22</f>
        <v>8</v>
      </c>
      <c r="D22" s="58" t="n">
        <f aca="false">'Drop Rates'!$D$22</f>
        <v>1.5</v>
      </c>
      <c r="E22" s="33" t="n">
        <f aca="false">C22*$B$6+D22*$B$7+IF(MOD(A22,$B$14)=0,1,0)*$B$8+$B$12</f>
        <v>151.5</v>
      </c>
      <c r="F22" s="58" t="n">
        <f aca="false">C22*Assumptions!$C$35*$B$9+D22*Assumptions!$C$37*$B$10+IF(MOD(A22,$B$14)=0,1,0)*$B$11</f>
        <v>4.525</v>
      </c>
      <c r="G22" s="33" t="n">
        <f aca="false">G21+E22</f>
        <v>606</v>
      </c>
      <c r="H22" s="47" t="n">
        <f aca="false">H21+F22</f>
        <v>18.1</v>
      </c>
      <c r="I22" s="47" t="n">
        <f aca="false">G22*$B$13</f>
        <v>3.03</v>
      </c>
      <c r="J22" s="35"/>
    </row>
    <row r="23" customFormat="false" ht="15" hidden="false" customHeight="true" outlineLevel="0" collapsed="false">
      <c r="A23" s="28" t="n">
        <v>5</v>
      </c>
      <c r="B23" s="53"/>
      <c r="C23" s="44" t="n">
        <f aca="false">'Drop Rates'!$C$23</f>
        <v>8</v>
      </c>
      <c r="D23" s="44" t="n">
        <f aca="false">'Drop Rates'!$D$23</f>
        <v>1.5</v>
      </c>
      <c r="E23" s="29" t="n">
        <f aca="false">C23*$B$6+D23*$B$7+IF(MOD(A23,$B$14)=0,1,0)*$B$8+$B$12</f>
        <v>151.5</v>
      </c>
      <c r="F23" s="44" t="n">
        <f aca="false">C23*Assumptions!$C$35*$B$9+D23*Assumptions!$C$37*$B$10+IF(MOD(A23,$B$14)=0,1,0)*$B$11</f>
        <v>4.525</v>
      </c>
      <c r="G23" s="29" t="n">
        <f aca="false">G22+E23</f>
        <v>757.5</v>
      </c>
      <c r="H23" s="45" t="n">
        <f aca="false">H22+F23</f>
        <v>22.625</v>
      </c>
      <c r="I23" s="45" t="n">
        <f aca="false">G23*$B$13</f>
        <v>3.7875</v>
      </c>
      <c r="J23" s="31"/>
    </row>
    <row r="24" customFormat="false" ht="15" hidden="false" customHeight="true" outlineLevel="0" collapsed="false">
      <c r="A24" s="32" t="n">
        <v>6</v>
      </c>
      <c r="B24" s="54" t="s">
        <v>372</v>
      </c>
      <c r="C24" s="58" t="n">
        <f aca="false">'Drop Rates'!$C$24</f>
        <v>4</v>
      </c>
      <c r="D24" s="58" t="n">
        <f aca="false">'Drop Rates'!$D$24</f>
        <v>0</v>
      </c>
      <c r="E24" s="33" t="n">
        <f aca="false">C24*$B$6+D24*$B$7+IF(MOD(A24,$B$14)=0,1,0)*$B$8+$B$12</f>
        <v>202</v>
      </c>
      <c r="F24" s="58" t="n">
        <f aca="false">C24*Assumptions!$C$35*$B$9+D24*Assumptions!$C$37*$B$10+IF(MOD(A24,$B$14)=0,1,0)*$B$11</f>
        <v>10.8</v>
      </c>
      <c r="G24" s="33" t="n">
        <f aca="false">G23+E24</f>
        <v>959.5</v>
      </c>
      <c r="H24" s="47" t="n">
        <f aca="false">H23+F24</f>
        <v>33.425</v>
      </c>
      <c r="I24" s="47" t="n">
        <f aca="false">G24*$B$13</f>
        <v>4.7975</v>
      </c>
      <c r="J24" s="35" t="s">
        <v>383</v>
      </c>
    </row>
    <row r="25" customFormat="false" ht="15" hidden="false" customHeight="true" outlineLevel="0" collapsed="false">
      <c r="A25" s="28" t="n">
        <v>7</v>
      </c>
      <c r="B25" s="53"/>
      <c r="C25" s="44" t="n">
        <f aca="false">'Drop Rates'!$C$25</f>
        <v>8</v>
      </c>
      <c r="D25" s="44" t="n">
        <f aca="false">'Drop Rates'!$D$25</f>
        <v>1.5</v>
      </c>
      <c r="E25" s="29" t="n">
        <f aca="false">C25*$B$6+D25*$B$7+IF(MOD(A25,$B$14)=0,1,0)*$B$8+$B$12</f>
        <v>151.5</v>
      </c>
      <c r="F25" s="44" t="n">
        <f aca="false">C25*Assumptions!$C$35*$B$9+D25*Assumptions!$C$37*$B$10+IF(MOD(A25,$B$14)=0,1,0)*$B$11</f>
        <v>4.525</v>
      </c>
      <c r="G25" s="29" t="n">
        <f aca="false">G24+E25</f>
        <v>1111</v>
      </c>
      <c r="H25" s="45" t="n">
        <f aca="false">H24+F25</f>
        <v>37.95</v>
      </c>
      <c r="I25" s="45" t="n">
        <f aca="false">G25*$B$13</f>
        <v>5.555</v>
      </c>
      <c r="J25" s="31"/>
    </row>
    <row r="26" customFormat="false" ht="15" hidden="false" customHeight="true" outlineLevel="0" collapsed="false">
      <c r="A26" s="32" t="n">
        <v>8</v>
      </c>
      <c r="B26" s="54"/>
      <c r="C26" s="58" t="n">
        <f aca="false">'Drop Rates'!$C$26</f>
        <v>8</v>
      </c>
      <c r="D26" s="58" t="n">
        <f aca="false">'Drop Rates'!$D$26</f>
        <v>1.5</v>
      </c>
      <c r="E26" s="33" t="n">
        <f aca="false">C26*$B$6+D26*$B$7+IF(MOD(A26,$B$14)=0,1,0)*$B$8+$B$12</f>
        <v>151.5</v>
      </c>
      <c r="F26" s="58" t="n">
        <f aca="false">C26*Assumptions!$C$35*$B$9+D26*Assumptions!$C$37*$B$10+IF(MOD(A26,$B$14)=0,1,0)*$B$11</f>
        <v>4.525</v>
      </c>
      <c r="G26" s="33" t="n">
        <f aca="false">G25+E26</f>
        <v>1262.5</v>
      </c>
      <c r="H26" s="47" t="n">
        <f aca="false">H25+F26</f>
        <v>42.475</v>
      </c>
      <c r="I26" s="47" t="n">
        <f aca="false">G26*$B$13</f>
        <v>6.3125</v>
      </c>
      <c r="J26" s="35"/>
    </row>
    <row r="27" customFormat="false" ht="15" hidden="false" customHeight="true" outlineLevel="0" collapsed="false">
      <c r="A27" s="28" t="n">
        <v>9</v>
      </c>
      <c r="B27" s="53"/>
      <c r="C27" s="44" t="n">
        <f aca="false">'Drop Rates'!$C$27</f>
        <v>8</v>
      </c>
      <c r="D27" s="44" t="n">
        <f aca="false">'Drop Rates'!$D$27</f>
        <v>1.5</v>
      </c>
      <c r="E27" s="29" t="n">
        <f aca="false">C27*$B$6+D27*$B$7+IF(MOD(A27,$B$14)=0,1,0)*$B$8+$B$12</f>
        <v>151.5</v>
      </c>
      <c r="F27" s="44" t="n">
        <f aca="false">C27*Assumptions!$C$35*$B$9+D27*Assumptions!$C$37*$B$10+IF(MOD(A27,$B$14)=0,1,0)*$B$11</f>
        <v>4.525</v>
      </c>
      <c r="G27" s="29" t="n">
        <f aca="false">G26+E27</f>
        <v>1414</v>
      </c>
      <c r="H27" s="45" t="n">
        <f aca="false">H26+F27</f>
        <v>47</v>
      </c>
      <c r="I27" s="45" t="n">
        <f aca="false">G27*$B$13</f>
        <v>7.07</v>
      </c>
      <c r="J27" s="31"/>
    </row>
    <row r="28" customFormat="false" ht="15" hidden="false" customHeight="true" outlineLevel="0" collapsed="false">
      <c r="A28" s="32" t="n">
        <v>10</v>
      </c>
      <c r="B28" s="54"/>
      <c r="C28" s="58" t="n">
        <f aca="false">'Drop Rates'!$C$28</f>
        <v>8</v>
      </c>
      <c r="D28" s="58" t="n">
        <f aca="false">'Drop Rates'!$D$28</f>
        <v>1.5</v>
      </c>
      <c r="E28" s="33" t="n">
        <f aca="false">C28*$B$6+D28*$B$7+IF(MOD(A28,$B$14)=0,1,0)*$B$8+$B$12</f>
        <v>151.5</v>
      </c>
      <c r="F28" s="58" t="n">
        <f aca="false">C28*Assumptions!$C$35*$B$9+D28*Assumptions!$C$37*$B$10+IF(MOD(A28,$B$14)=0,1,0)*$B$11</f>
        <v>4.525</v>
      </c>
      <c r="G28" s="33" t="n">
        <f aca="false">G27+E28</f>
        <v>1565.5</v>
      </c>
      <c r="H28" s="47" t="n">
        <f aca="false">H27+F28</f>
        <v>51.525</v>
      </c>
      <c r="I28" s="47" t="n">
        <f aca="false">G28*$B$13</f>
        <v>7.8275</v>
      </c>
      <c r="J28" s="35"/>
    </row>
    <row r="29" customFormat="false" ht="15" hidden="false" customHeight="true" outlineLevel="0" collapsed="false">
      <c r="A29" s="28" t="n">
        <v>11</v>
      </c>
      <c r="B29" s="53"/>
      <c r="C29" s="44" t="n">
        <f aca="false">'Drop Rates'!$C$29</f>
        <v>8</v>
      </c>
      <c r="D29" s="44" t="n">
        <f aca="false">'Drop Rates'!$D$29</f>
        <v>1.5</v>
      </c>
      <c r="E29" s="29" t="n">
        <f aca="false">C29*$B$6+D29*$B$7+IF(MOD(A29,$B$14)=0,1,0)*$B$8+$B$12</f>
        <v>151.5</v>
      </c>
      <c r="F29" s="44" t="n">
        <f aca="false">C29*Assumptions!$C$35*$B$9+D29*Assumptions!$C$37*$B$10+IF(MOD(A29,$B$14)=0,1,0)*$B$11</f>
        <v>4.525</v>
      </c>
      <c r="G29" s="29" t="n">
        <f aca="false">G28+E29</f>
        <v>1717</v>
      </c>
      <c r="H29" s="45" t="n">
        <f aca="false">H28+F29</f>
        <v>56.05</v>
      </c>
      <c r="I29" s="45" t="n">
        <f aca="false">G29*$B$13</f>
        <v>8.585</v>
      </c>
      <c r="J29" s="31"/>
    </row>
    <row r="30" customFormat="false" ht="15" hidden="false" customHeight="true" outlineLevel="0" collapsed="false">
      <c r="A30" s="32" t="n">
        <v>12</v>
      </c>
      <c r="B30" s="54" t="s">
        <v>372</v>
      </c>
      <c r="C30" s="58" t="n">
        <f aca="false">'Drop Rates'!$C$30</f>
        <v>4</v>
      </c>
      <c r="D30" s="58" t="n">
        <f aca="false">'Drop Rates'!$D$30</f>
        <v>0</v>
      </c>
      <c r="E30" s="33" t="n">
        <f aca="false">C30*$B$6+D30*$B$7+IF(MOD(A30,$B$14)=0,1,0)*$B$8+$B$12</f>
        <v>202</v>
      </c>
      <c r="F30" s="58" t="n">
        <f aca="false">C30*Assumptions!$C$35*$B$9+D30*Assumptions!$C$37*$B$10+IF(MOD(A30,$B$14)=0,1,0)*$B$11</f>
        <v>10.8</v>
      </c>
      <c r="G30" s="33" t="n">
        <f aca="false">G29+E30</f>
        <v>1919</v>
      </c>
      <c r="H30" s="47" t="n">
        <f aca="false">H29+F30</f>
        <v>66.85</v>
      </c>
      <c r="I30" s="47" t="n">
        <f aca="false">G30*$B$13</f>
        <v>9.595</v>
      </c>
      <c r="J30" s="35" t="s">
        <v>384</v>
      </c>
    </row>
    <row r="31" customFormat="false" ht="15" hidden="false" customHeight="true" outlineLevel="0" collapsed="false">
      <c r="A31" s="28" t="n">
        <v>13</v>
      </c>
      <c r="B31" s="53"/>
      <c r="C31" s="44" t="n">
        <f aca="false">'Drop Rates'!$C$31</f>
        <v>8</v>
      </c>
      <c r="D31" s="44" t="n">
        <f aca="false">'Drop Rates'!$D$31</f>
        <v>1.5</v>
      </c>
      <c r="E31" s="29" t="n">
        <f aca="false">C31*$B$6+D31*$B$7+IF(MOD(A31,$B$14)=0,1,0)*$B$8+$B$12</f>
        <v>151.5</v>
      </c>
      <c r="F31" s="44" t="n">
        <f aca="false">C31*Assumptions!$C$35*$B$9+D31*Assumptions!$C$37*$B$10+IF(MOD(A31,$B$14)=0,1,0)*$B$11</f>
        <v>4.525</v>
      </c>
      <c r="G31" s="29" t="n">
        <f aca="false">G30+E31</f>
        <v>2070.5</v>
      </c>
      <c r="H31" s="45" t="n">
        <f aca="false">H30+F31</f>
        <v>71.375</v>
      </c>
      <c r="I31" s="45" t="n">
        <f aca="false">G31*$B$13</f>
        <v>10.3525</v>
      </c>
      <c r="J31" s="31"/>
    </row>
    <row r="32" customFormat="false" ht="15" hidden="false" customHeight="true" outlineLevel="0" collapsed="false">
      <c r="A32" s="32" t="n">
        <v>14</v>
      </c>
      <c r="B32" s="54"/>
      <c r="C32" s="58" t="n">
        <f aca="false">'Drop Rates'!$C$32</f>
        <v>8</v>
      </c>
      <c r="D32" s="58" t="n">
        <f aca="false">'Drop Rates'!$D$32</f>
        <v>1.5</v>
      </c>
      <c r="E32" s="33" t="n">
        <f aca="false">C32*$B$6+D32*$B$7+IF(MOD(A32,$B$14)=0,1,0)*$B$8+$B$12</f>
        <v>151.5</v>
      </c>
      <c r="F32" s="58" t="n">
        <f aca="false">C32*Assumptions!$C$35*$B$9+D32*Assumptions!$C$37*$B$10+IF(MOD(A32,$B$14)=0,1,0)*$B$11</f>
        <v>4.525</v>
      </c>
      <c r="G32" s="33" t="n">
        <f aca="false">G31+E32</f>
        <v>2222</v>
      </c>
      <c r="H32" s="47" t="n">
        <f aca="false">H31+F32</f>
        <v>75.9</v>
      </c>
      <c r="I32" s="47" t="n">
        <f aca="false">G32*$B$13</f>
        <v>11.11</v>
      </c>
      <c r="J32" s="35"/>
    </row>
    <row r="33" customFormat="false" ht="15" hidden="false" customHeight="true" outlineLevel="0" collapsed="false">
      <c r="A33" s="28" t="n">
        <v>15</v>
      </c>
      <c r="B33" s="53"/>
      <c r="C33" s="44" t="n">
        <f aca="false">'Drop Rates'!$C$33</f>
        <v>8</v>
      </c>
      <c r="D33" s="44" t="n">
        <f aca="false">'Drop Rates'!$D$33</f>
        <v>1.5</v>
      </c>
      <c r="E33" s="29" t="n">
        <f aca="false">C33*$B$6+D33*$B$7+IF(MOD(A33,$B$14)=0,1,0)*$B$8+$B$12</f>
        <v>151.5</v>
      </c>
      <c r="F33" s="44" t="n">
        <f aca="false">C33*Assumptions!$C$35*$B$9+D33*Assumptions!$C$37*$B$10+IF(MOD(A33,$B$14)=0,1,0)*$B$11</f>
        <v>4.525</v>
      </c>
      <c r="G33" s="29" t="n">
        <f aca="false">G32+E33</f>
        <v>2373.5</v>
      </c>
      <c r="H33" s="45" t="n">
        <f aca="false">H32+F33</f>
        <v>80.425</v>
      </c>
      <c r="I33" s="45" t="n">
        <f aca="false">G33*$B$13</f>
        <v>11.8675</v>
      </c>
      <c r="J33" s="31"/>
    </row>
    <row r="34" customFormat="false" ht="15" hidden="false" customHeight="true" outlineLevel="0" collapsed="false">
      <c r="A34" s="32" t="n">
        <v>16</v>
      </c>
      <c r="B34" s="54"/>
      <c r="C34" s="58" t="n">
        <f aca="false">'Drop Rates'!$C$34</f>
        <v>8</v>
      </c>
      <c r="D34" s="58" t="n">
        <f aca="false">'Drop Rates'!$D$34</f>
        <v>1.5</v>
      </c>
      <c r="E34" s="33" t="n">
        <f aca="false">C34*$B$6+D34*$B$7+IF(MOD(A34,$B$14)=0,1,0)*$B$8+$B$12</f>
        <v>151.5</v>
      </c>
      <c r="F34" s="58" t="n">
        <f aca="false">C34*Assumptions!$C$35*$B$9+D34*Assumptions!$C$37*$B$10+IF(MOD(A34,$B$14)=0,1,0)*$B$11</f>
        <v>4.525</v>
      </c>
      <c r="G34" s="33" t="n">
        <f aca="false">G33+E34</f>
        <v>2525</v>
      </c>
      <c r="H34" s="47" t="n">
        <f aca="false">H33+F34</f>
        <v>84.95</v>
      </c>
      <c r="I34" s="47" t="n">
        <f aca="false">G34*$B$13</f>
        <v>12.625</v>
      </c>
      <c r="J34" s="35"/>
    </row>
    <row r="35" customFormat="false" ht="15" hidden="false" customHeight="true" outlineLevel="0" collapsed="false">
      <c r="A35" s="28" t="n">
        <v>17</v>
      </c>
      <c r="B35" s="53"/>
      <c r="C35" s="44" t="n">
        <f aca="false">'Drop Rates'!$C$35</f>
        <v>8</v>
      </c>
      <c r="D35" s="44" t="n">
        <f aca="false">'Drop Rates'!$D$35</f>
        <v>1.5</v>
      </c>
      <c r="E35" s="29" t="n">
        <f aca="false">C35*$B$6+D35*$B$7+IF(MOD(A35,$B$14)=0,1,0)*$B$8+$B$12</f>
        <v>151.5</v>
      </c>
      <c r="F35" s="44" t="n">
        <f aca="false">C35*Assumptions!$C$35*$B$9+D35*Assumptions!$C$37*$B$10+IF(MOD(A35,$B$14)=0,1,0)*$B$11</f>
        <v>4.525</v>
      </c>
      <c r="G35" s="29" t="n">
        <f aca="false">G34+E35</f>
        <v>2676.5</v>
      </c>
      <c r="H35" s="45" t="n">
        <f aca="false">H34+F35</f>
        <v>89.475</v>
      </c>
      <c r="I35" s="45" t="n">
        <f aca="false">G35*$B$13</f>
        <v>13.3825</v>
      </c>
      <c r="J35" s="31"/>
    </row>
    <row r="36" customFormat="false" ht="15" hidden="false" customHeight="true" outlineLevel="0" collapsed="false">
      <c r="A36" s="32" t="n">
        <v>18</v>
      </c>
      <c r="B36" s="54" t="s">
        <v>372</v>
      </c>
      <c r="C36" s="58" t="n">
        <f aca="false">'Drop Rates'!$C$36</f>
        <v>4</v>
      </c>
      <c r="D36" s="58" t="n">
        <f aca="false">'Drop Rates'!$D$36</f>
        <v>0</v>
      </c>
      <c r="E36" s="33" t="n">
        <f aca="false">C36*$B$6+D36*$B$7+IF(MOD(A36,$B$14)=0,1,0)*$B$8+$B$12</f>
        <v>202</v>
      </c>
      <c r="F36" s="58" t="n">
        <f aca="false">C36*Assumptions!$C$35*$B$9+D36*Assumptions!$C$37*$B$10+IF(MOD(A36,$B$14)=0,1,0)*$B$11</f>
        <v>10.8</v>
      </c>
      <c r="G36" s="33" t="n">
        <f aca="false">G35+E36</f>
        <v>2878.5</v>
      </c>
      <c r="H36" s="47" t="n">
        <f aca="false">H35+F36</f>
        <v>100.275</v>
      </c>
      <c r="I36" s="47" t="n">
        <f aca="false">G36*$B$13</f>
        <v>14.3925</v>
      </c>
      <c r="J36" s="35" t="s">
        <v>385</v>
      </c>
    </row>
    <row r="37" customFormat="false" ht="15" hidden="false" customHeight="true" outlineLevel="0" collapsed="false">
      <c r="A37" s="28" t="n">
        <v>19</v>
      </c>
      <c r="B37" s="53"/>
      <c r="C37" s="44" t="n">
        <f aca="false">'Drop Rates'!$C$37</f>
        <v>8</v>
      </c>
      <c r="D37" s="44" t="n">
        <f aca="false">'Drop Rates'!$D$37</f>
        <v>1.5</v>
      </c>
      <c r="E37" s="29" t="n">
        <f aca="false">C37*$B$6+D37*$B$7+IF(MOD(A37,$B$14)=0,1,0)*$B$8+$B$12</f>
        <v>151.5</v>
      </c>
      <c r="F37" s="44" t="n">
        <f aca="false">C37*Assumptions!$C$35*$B$9+D37*Assumptions!$C$37*$B$10+IF(MOD(A37,$B$14)=0,1,0)*$B$11</f>
        <v>4.525</v>
      </c>
      <c r="G37" s="29" t="n">
        <f aca="false">G36+E37</f>
        <v>3030</v>
      </c>
      <c r="H37" s="45" t="n">
        <f aca="false">H36+F37</f>
        <v>104.8</v>
      </c>
      <c r="I37" s="45" t="n">
        <f aca="false">G37*$B$13</f>
        <v>15.15</v>
      </c>
      <c r="J37" s="31"/>
    </row>
    <row r="38" customFormat="false" ht="15" hidden="false" customHeight="true" outlineLevel="0" collapsed="false">
      <c r="A38" s="32" t="n">
        <v>20</v>
      </c>
      <c r="B38" s="54"/>
      <c r="C38" s="58" t="n">
        <f aca="false">'Drop Rates'!$C$38</f>
        <v>8</v>
      </c>
      <c r="D38" s="58" t="n">
        <f aca="false">'Drop Rates'!$D$38</f>
        <v>1.5</v>
      </c>
      <c r="E38" s="33" t="n">
        <f aca="false">C38*$B$6+D38*$B$7+IF(MOD(A38,$B$14)=0,1,0)*$B$8+$B$12</f>
        <v>151.5</v>
      </c>
      <c r="F38" s="58" t="n">
        <f aca="false">C38*Assumptions!$C$35*$B$9+D38*Assumptions!$C$37*$B$10+IF(MOD(A38,$B$14)=0,1,0)*$B$11</f>
        <v>4.525</v>
      </c>
      <c r="G38" s="33" t="n">
        <f aca="false">G37+E38</f>
        <v>3181.5</v>
      </c>
      <c r="H38" s="47" t="n">
        <f aca="false">H37+F38</f>
        <v>109.325</v>
      </c>
      <c r="I38" s="47" t="n">
        <f aca="false">G38*$B$13</f>
        <v>15.9075</v>
      </c>
      <c r="J38" s="35"/>
    </row>
    <row r="39" customFormat="false" ht="15" hidden="false" customHeight="true" outlineLevel="0" collapsed="false">
      <c r="A39" s="28" t="n">
        <v>21</v>
      </c>
      <c r="B39" s="53"/>
      <c r="C39" s="44" t="n">
        <f aca="false">'Drop Rates'!$C$39</f>
        <v>8</v>
      </c>
      <c r="D39" s="44" t="n">
        <f aca="false">'Drop Rates'!$D$39</f>
        <v>1.5</v>
      </c>
      <c r="E39" s="29" t="n">
        <f aca="false">C39*$B$6+D39*$B$7+IF(MOD(A39,$B$14)=0,1,0)*$B$8+$B$12</f>
        <v>151.5</v>
      </c>
      <c r="F39" s="44" t="n">
        <f aca="false">C39*Assumptions!$C$35*$B$9+D39*Assumptions!$C$37*$B$10+IF(MOD(A39,$B$14)=0,1,0)*$B$11</f>
        <v>4.525</v>
      </c>
      <c r="G39" s="29" t="n">
        <f aca="false">G38+E39</f>
        <v>3333</v>
      </c>
      <c r="H39" s="45" t="n">
        <f aca="false">H38+F39</f>
        <v>113.85</v>
      </c>
      <c r="I39" s="45" t="n">
        <f aca="false">G39*$B$13</f>
        <v>16.665</v>
      </c>
      <c r="J39" s="31"/>
    </row>
    <row r="40" customFormat="false" ht="15" hidden="false" customHeight="true" outlineLevel="0" collapsed="false">
      <c r="A40" s="32" t="n">
        <v>22</v>
      </c>
      <c r="B40" s="54"/>
      <c r="C40" s="58" t="n">
        <f aca="false">'Drop Rates'!$C$40</f>
        <v>8</v>
      </c>
      <c r="D40" s="58" t="n">
        <f aca="false">'Drop Rates'!$D$40</f>
        <v>1.5</v>
      </c>
      <c r="E40" s="33" t="n">
        <f aca="false">C40*$B$6+D40*$B$7+IF(MOD(A40,$B$14)=0,1,0)*$B$8+$B$12</f>
        <v>151.5</v>
      </c>
      <c r="F40" s="58" t="n">
        <f aca="false">C40*Assumptions!$C$35*$B$9+D40*Assumptions!$C$37*$B$10+IF(MOD(A40,$B$14)=0,1,0)*$B$11</f>
        <v>4.525</v>
      </c>
      <c r="G40" s="33" t="n">
        <f aca="false">G39+E40</f>
        <v>3484.5</v>
      </c>
      <c r="H40" s="47" t="n">
        <f aca="false">H39+F40</f>
        <v>118.375</v>
      </c>
      <c r="I40" s="47" t="n">
        <f aca="false">G40*$B$13</f>
        <v>17.4225</v>
      </c>
      <c r="J40" s="35"/>
    </row>
    <row r="41" customFormat="false" ht="15" hidden="false" customHeight="true" outlineLevel="0" collapsed="false">
      <c r="A41" s="28" t="n">
        <v>23</v>
      </c>
      <c r="B41" s="53"/>
      <c r="C41" s="44" t="n">
        <f aca="false">'Drop Rates'!$C$41</f>
        <v>8</v>
      </c>
      <c r="D41" s="44" t="n">
        <f aca="false">'Drop Rates'!$D$41</f>
        <v>1.5</v>
      </c>
      <c r="E41" s="29" t="n">
        <f aca="false">C41*$B$6+D41*$B$7+IF(MOD(A41,$B$14)=0,1,0)*$B$8+$B$12</f>
        <v>151.5</v>
      </c>
      <c r="F41" s="44" t="n">
        <f aca="false">C41*Assumptions!$C$35*$B$9+D41*Assumptions!$C$37*$B$10+IF(MOD(A41,$B$14)=0,1,0)*$B$11</f>
        <v>4.525</v>
      </c>
      <c r="G41" s="29" t="n">
        <f aca="false">G40+E41</f>
        <v>3636</v>
      </c>
      <c r="H41" s="45" t="n">
        <f aca="false">H40+F41</f>
        <v>122.9</v>
      </c>
      <c r="I41" s="45" t="n">
        <f aca="false">G41*$B$13</f>
        <v>18.18</v>
      </c>
      <c r="J41" s="31"/>
    </row>
    <row r="42" customFormat="false" ht="15" hidden="false" customHeight="true" outlineLevel="0" collapsed="false">
      <c r="A42" s="32" t="n">
        <v>24</v>
      </c>
      <c r="B42" s="54" t="s">
        <v>372</v>
      </c>
      <c r="C42" s="58" t="n">
        <f aca="false">'Drop Rates'!$C$42</f>
        <v>4</v>
      </c>
      <c r="D42" s="58" t="n">
        <f aca="false">'Drop Rates'!$D$42</f>
        <v>0</v>
      </c>
      <c r="E42" s="33" t="n">
        <f aca="false">C42*$B$6+D42*$B$7+IF(MOD(A42,$B$14)=0,1,0)*$B$8+$B$12</f>
        <v>202</v>
      </c>
      <c r="F42" s="58" t="n">
        <f aca="false">C42*Assumptions!$C$35*$B$9+D42*Assumptions!$C$37*$B$10+IF(MOD(A42,$B$14)=0,1,0)*$B$11</f>
        <v>10.8</v>
      </c>
      <c r="G42" s="33" t="n">
        <f aca="false">G41+E42</f>
        <v>3838</v>
      </c>
      <c r="H42" s="47" t="n">
        <f aca="false">H41+F42</f>
        <v>133.7</v>
      </c>
      <c r="I42" s="47" t="n">
        <f aca="false">G42*$B$13</f>
        <v>19.19</v>
      </c>
      <c r="J42" s="35" t="s">
        <v>386</v>
      </c>
    </row>
    <row r="43" customFormat="false" ht="15" hidden="false" customHeight="true" outlineLevel="0" collapsed="false">
      <c r="A43" s="28" t="n">
        <v>25</v>
      </c>
      <c r="B43" s="53"/>
      <c r="C43" s="44" t="n">
        <f aca="false">'Drop Rates'!$C$43</f>
        <v>8</v>
      </c>
      <c r="D43" s="44" t="n">
        <f aca="false">'Drop Rates'!$D$43</f>
        <v>1.5</v>
      </c>
      <c r="E43" s="29" t="n">
        <f aca="false">C43*$B$6+D43*$B$7+IF(MOD(A43,$B$14)=0,1,0)*$B$8+$B$12</f>
        <v>151.5</v>
      </c>
      <c r="F43" s="44" t="n">
        <f aca="false">C43*Assumptions!$C$35*$B$9+D43*Assumptions!$C$37*$B$10+IF(MOD(A43,$B$14)=0,1,0)*$B$11</f>
        <v>4.525</v>
      </c>
      <c r="G43" s="29" t="n">
        <f aca="false">G42+E43</f>
        <v>3989.5</v>
      </c>
      <c r="H43" s="45" t="n">
        <f aca="false">H42+F43</f>
        <v>138.225</v>
      </c>
      <c r="I43" s="45" t="n">
        <f aca="false">G43*$B$13</f>
        <v>19.9475</v>
      </c>
      <c r="J43" s="31"/>
    </row>
    <row r="44" customFormat="false" ht="15" hidden="false" customHeight="true" outlineLevel="0" collapsed="false">
      <c r="A44" s="32" t="n">
        <v>26</v>
      </c>
      <c r="B44" s="54"/>
      <c r="C44" s="58" t="n">
        <f aca="false">'Drop Rates'!$C$44</f>
        <v>8</v>
      </c>
      <c r="D44" s="58" t="n">
        <f aca="false">'Drop Rates'!$D$44</f>
        <v>1.5</v>
      </c>
      <c r="E44" s="33" t="n">
        <f aca="false">C44*$B$6+D44*$B$7+IF(MOD(A44,$B$14)=0,1,0)*$B$8+$B$12</f>
        <v>151.5</v>
      </c>
      <c r="F44" s="58" t="n">
        <f aca="false">C44*Assumptions!$C$35*$B$9+D44*Assumptions!$C$37*$B$10+IF(MOD(A44,$B$14)=0,1,0)*$B$11</f>
        <v>4.525</v>
      </c>
      <c r="G44" s="33" t="n">
        <f aca="false">G43+E44</f>
        <v>4141</v>
      </c>
      <c r="H44" s="47" t="n">
        <f aca="false">H43+F44</f>
        <v>142.75</v>
      </c>
      <c r="I44" s="47" t="n">
        <f aca="false">G44*$B$13</f>
        <v>20.705</v>
      </c>
      <c r="J44" s="35"/>
    </row>
    <row r="45" customFormat="false" ht="15" hidden="false" customHeight="true" outlineLevel="0" collapsed="false">
      <c r="A45" s="28" t="n">
        <v>27</v>
      </c>
      <c r="B45" s="53"/>
      <c r="C45" s="44" t="n">
        <f aca="false">'Drop Rates'!$C$45</f>
        <v>8</v>
      </c>
      <c r="D45" s="44" t="n">
        <f aca="false">'Drop Rates'!$D$45</f>
        <v>1.5</v>
      </c>
      <c r="E45" s="29" t="n">
        <f aca="false">C45*$B$6+D45*$B$7+IF(MOD(A45,$B$14)=0,1,0)*$B$8+$B$12</f>
        <v>151.5</v>
      </c>
      <c r="F45" s="44" t="n">
        <f aca="false">C45*Assumptions!$C$35*$B$9+D45*Assumptions!$C$37*$B$10+IF(MOD(A45,$B$14)=0,1,0)*$B$11</f>
        <v>4.525</v>
      </c>
      <c r="G45" s="29" t="n">
        <f aca="false">G44+E45</f>
        <v>4292.5</v>
      </c>
      <c r="H45" s="45" t="n">
        <f aca="false">H44+F45</f>
        <v>147.275</v>
      </c>
      <c r="I45" s="45" t="n">
        <f aca="false">G45*$B$13</f>
        <v>21.4625</v>
      </c>
      <c r="J45" s="31"/>
    </row>
    <row r="46" customFormat="false" ht="15" hidden="false" customHeight="true" outlineLevel="0" collapsed="false">
      <c r="A46" s="32" t="n">
        <v>28</v>
      </c>
      <c r="B46" s="54"/>
      <c r="C46" s="58" t="n">
        <f aca="false">'Drop Rates'!$C$46</f>
        <v>8</v>
      </c>
      <c r="D46" s="58" t="n">
        <f aca="false">'Drop Rates'!$D$46</f>
        <v>1.5</v>
      </c>
      <c r="E46" s="33" t="n">
        <f aca="false">C46*$B$6+D46*$B$7+IF(MOD(A46,$B$14)=0,1,0)*$B$8+$B$12</f>
        <v>151.5</v>
      </c>
      <c r="F46" s="58" t="n">
        <f aca="false">C46*Assumptions!$C$35*$B$9+D46*Assumptions!$C$37*$B$10+IF(MOD(A46,$B$14)=0,1,0)*$B$11</f>
        <v>4.525</v>
      </c>
      <c r="G46" s="33" t="n">
        <f aca="false">G45+E46</f>
        <v>4444</v>
      </c>
      <c r="H46" s="47" t="n">
        <f aca="false">H45+F46</f>
        <v>151.8</v>
      </c>
      <c r="I46" s="47" t="n">
        <f aca="false">G46*$B$13</f>
        <v>22.22</v>
      </c>
      <c r="J46" s="35"/>
    </row>
    <row r="47" customFormat="false" ht="15" hidden="false" customHeight="true" outlineLevel="0" collapsed="false">
      <c r="A47" s="28" t="n">
        <v>29</v>
      </c>
      <c r="B47" s="53"/>
      <c r="C47" s="44" t="n">
        <f aca="false">'Drop Rates'!$C$47</f>
        <v>8</v>
      </c>
      <c r="D47" s="44" t="n">
        <f aca="false">'Drop Rates'!$D$47</f>
        <v>1.5</v>
      </c>
      <c r="E47" s="29" t="n">
        <f aca="false">C47*$B$6+D47*$B$7+IF(MOD(A47,$B$14)=0,1,0)*$B$8+$B$12</f>
        <v>151.5</v>
      </c>
      <c r="F47" s="44" t="n">
        <f aca="false">C47*Assumptions!$C$35*$B$9+D47*Assumptions!$C$37*$B$10+IF(MOD(A47,$B$14)=0,1,0)*$B$11</f>
        <v>4.525</v>
      </c>
      <c r="G47" s="29" t="n">
        <f aca="false">G46+E47</f>
        <v>4595.5</v>
      </c>
      <c r="H47" s="45" t="n">
        <f aca="false">H46+F47</f>
        <v>156.325</v>
      </c>
      <c r="I47" s="45" t="n">
        <f aca="false">G47*$B$13</f>
        <v>22.9775</v>
      </c>
      <c r="J47" s="31"/>
    </row>
    <row r="48" customFormat="false" ht="15" hidden="false" customHeight="true" outlineLevel="0" collapsed="false">
      <c r="A48" s="32" t="n">
        <v>30</v>
      </c>
      <c r="B48" s="54" t="s">
        <v>372</v>
      </c>
      <c r="C48" s="58" t="n">
        <f aca="false">'Drop Rates'!$C$48</f>
        <v>4</v>
      </c>
      <c r="D48" s="58" t="n">
        <f aca="false">'Drop Rates'!$D$48</f>
        <v>0</v>
      </c>
      <c r="E48" s="33" t="n">
        <f aca="false">C48*$B$6+D48*$B$7+IF(MOD(A48,$B$14)=0,1,0)*$B$8+$B$12</f>
        <v>202</v>
      </c>
      <c r="F48" s="58" t="n">
        <f aca="false">C48*Assumptions!$C$35*$B$9+D48*Assumptions!$C$37*$B$10+IF(MOD(A48,$B$14)=0,1,0)*$B$11</f>
        <v>10.8</v>
      </c>
      <c r="G48" s="33" t="n">
        <f aca="false">G47+E48</f>
        <v>4797.5</v>
      </c>
      <c r="H48" s="47" t="n">
        <f aca="false">H47+F48</f>
        <v>167.125</v>
      </c>
      <c r="I48" s="47" t="n">
        <f aca="false">G48*$B$13</f>
        <v>23.9875</v>
      </c>
      <c r="J48" s="35" t="s">
        <v>387</v>
      </c>
    </row>
    <row r="49" customFormat="false" ht="21.75" hidden="false" customHeight="true" outlineLevel="0" collapsed="false">
      <c r="A49" s="9" t="s">
        <v>388</v>
      </c>
      <c r="B49" s="9"/>
      <c r="C49" s="9"/>
      <c r="D49" s="9"/>
      <c r="E49" s="9"/>
      <c r="F49" s="9"/>
      <c r="G49" s="9"/>
      <c r="H49" s="9"/>
      <c r="I49" s="9"/>
      <c r="J49" s="9"/>
    </row>
    <row r="50" customFormat="false" ht="15" hidden="false" customHeight="true" outlineLevel="0" collapsed="false">
      <c r="A50" s="59" t="s">
        <v>389</v>
      </c>
      <c r="B50" s="59"/>
      <c r="C50" s="59"/>
      <c r="D50" s="59"/>
      <c r="E50" s="57" t="n">
        <f aca="false">SUM(E19:E48)</f>
        <v>4797.5</v>
      </c>
      <c r="F50" s="60"/>
      <c r="G50" s="60"/>
      <c r="H50" s="60"/>
      <c r="I50" s="60"/>
      <c r="J50" s="60"/>
    </row>
    <row r="51" customFormat="false" ht="15" hidden="false" customHeight="true" outlineLevel="0" collapsed="false">
      <c r="A51" s="59" t="s">
        <v>390</v>
      </c>
      <c r="B51" s="59"/>
      <c r="C51" s="59"/>
      <c r="D51" s="59"/>
      <c r="E51" s="60"/>
      <c r="F51" s="56" t="n">
        <f aca="false">SUM(F19:F48)</f>
        <v>167.125</v>
      </c>
      <c r="G51" s="60"/>
      <c r="H51" s="60"/>
      <c r="I51" s="60"/>
      <c r="J51" s="60"/>
    </row>
    <row r="52" customFormat="false" ht="15" hidden="false" customHeight="true" outlineLevel="0" collapsed="false">
      <c r="A52" s="59" t="s">
        <v>391</v>
      </c>
      <c r="B52" s="59"/>
      <c r="C52" s="59"/>
      <c r="D52" s="59"/>
      <c r="E52" s="60"/>
      <c r="F52" s="60"/>
      <c r="G52" s="60"/>
      <c r="H52" s="60"/>
      <c r="I52" s="56" t="n">
        <f aca="false">G48*$B$13</f>
        <v>23.9875</v>
      </c>
      <c r="J52" s="60"/>
    </row>
  </sheetData>
  <mergeCells count="8">
    <mergeCell ref="A1:J1"/>
    <mergeCell ref="A2:J2"/>
    <mergeCell ref="A4:J4"/>
    <mergeCell ref="A17:J17"/>
    <mergeCell ref="A49:J49"/>
    <mergeCell ref="A50:D50"/>
    <mergeCell ref="A51:D51"/>
    <mergeCell ref="A52: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10" min="2" style="1" width="14"/>
    <col collapsed="false" customWidth="true" hidden="false" outlineLevel="0" max="11" min="11" style="1" width="36"/>
  </cols>
  <sheetData>
    <row r="1" customFormat="false" ht="19.5" hidden="false" customHeight="true" outlineLevel="0" collapsed="false">
      <c r="A1" s="2" t="s">
        <v>392</v>
      </c>
      <c r="B1" s="2"/>
      <c r="C1" s="2"/>
      <c r="D1" s="2"/>
      <c r="E1" s="2"/>
      <c r="F1" s="2"/>
      <c r="G1" s="2"/>
      <c r="H1" s="2"/>
      <c r="I1" s="2"/>
      <c r="J1" s="2"/>
      <c r="K1" s="2"/>
    </row>
    <row r="2" customFormat="false" ht="15" hidden="false" customHeight="true" outlineLevel="0" collapsed="false">
      <c r="A2" s="3" t="s">
        <v>393</v>
      </c>
      <c r="B2" s="3"/>
      <c r="C2" s="3"/>
      <c r="D2" s="3"/>
      <c r="E2" s="3"/>
      <c r="F2" s="3"/>
      <c r="G2" s="3"/>
      <c r="H2" s="3"/>
      <c r="I2" s="3"/>
      <c r="J2" s="3"/>
      <c r="K2" s="3"/>
    </row>
    <row r="4" customFormat="false" ht="21.75" hidden="false" customHeight="true" outlineLevel="0" collapsed="false">
      <c r="A4" s="9" t="s">
        <v>305</v>
      </c>
      <c r="B4" s="9"/>
      <c r="C4" s="9"/>
      <c r="D4" s="9"/>
      <c r="E4" s="9"/>
      <c r="F4" s="9"/>
      <c r="G4" s="9"/>
      <c r="H4" s="9"/>
      <c r="I4" s="9"/>
      <c r="J4" s="9"/>
      <c r="K4" s="9"/>
    </row>
    <row r="5" customFormat="false" ht="15" hidden="false" customHeight="true" outlineLevel="0" collapsed="false">
      <c r="A5" s="8" t="s">
        <v>289</v>
      </c>
      <c r="B5" s="8" t="s">
        <v>75</v>
      </c>
      <c r="D5" s="61" t="s">
        <v>289</v>
      </c>
      <c r="E5" s="61" t="s">
        <v>75</v>
      </c>
    </row>
    <row r="6" customFormat="false" ht="26.25" hidden="false" customHeight="true" outlineLevel="0" collapsed="false">
      <c r="A6" s="25" t="s">
        <v>180</v>
      </c>
      <c r="B6" s="44" t="n">
        <f aca="false">Assumptions!$C$54</f>
        <v>5</v>
      </c>
      <c r="D6" s="11" t="s">
        <v>190</v>
      </c>
      <c r="E6" s="26" t="n">
        <f aca="false">Assumptions!$C$61</f>
        <v>6</v>
      </c>
    </row>
    <row r="7" customFormat="false" ht="26.25" hidden="false" customHeight="true" outlineLevel="0" collapsed="false">
      <c r="A7" s="25" t="s">
        <v>178</v>
      </c>
      <c r="B7" s="26" t="n">
        <f aca="false">Assumptions!$C$53</f>
        <v>6</v>
      </c>
      <c r="D7" s="11" t="s">
        <v>193</v>
      </c>
      <c r="E7" s="26" t="n">
        <f aca="false">Assumptions!$C$62</f>
        <v>30</v>
      </c>
    </row>
    <row r="8" customFormat="false" ht="39" hidden="false" customHeight="true" outlineLevel="0" collapsed="false">
      <c r="A8" s="25" t="s">
        <v>79</v>
      </c>
      <c r="B8" s="26" t="n">
        <f aca="false">Assumptions!$C$6</f>
        <v>30</v>
      </c>
      <c r="D8" s="11" t="s">
        <v>195</v>
      </c>
      <c r="E8" s="26" t="n">
        <f aca="false">Assumptions!$C$63</f>
        <v>15</v>
      </c>
    </row>
    <row r="10" customFormat="false" ht="31.5" hidden="false" customHeight="true" outlineLevel="0" collapsed="false">
      <c r="A10" s="62" t="s">
        <v>394</v>
      </c>
      <c r="B10" s="62"/>
      <c r="C10" s="62"/>
      <c r="D10" s="62"/>
      <c r="E10" s="62"/>
      <c r="F10" s="62"/>
      <c r="G10" s="62"/>
      <c r="H10" s="62"/>
      <c r="I10" s="62"/>
      <c r="J10" s="62"/>
      <c r="K10" s="62"/>
    </row>
    <row r="12" customFormat="false" ht="21.75" hidden="false" customHeight="true" outlineLevel="0" collapsed="false">
      <c r="A12" s="9" t="s">
        <v>395</v>
      </c>
      <c r="B12" s="9"/>
      <c r="C12" s="9"/>
      <c r="D12" s="9"/>
      <c r="E12" s="9"/>
      <c r="F12" s="9"/>
      <c r="G12" s="9"/>
      <c r="H12" s="9"/>
      <c r="I12" s="9"/>
      <c r="J12" s="9"/>
      <c r="K12" s="9"/>
    </row>
    <row r="13" customFormat="false" ht="27.75" hidden="false" customHeight="true" outlineLevel="0" collapsed="false">
      <c r="A13" s="8" t="s">
        <v>291</v>
      </c>
      <c r="B13" s="8" t="s">
        <v>370</v>
      </c>
      <c r="C13" s="8" t="s">
        <v>347</v>
      </c>
      <c r="D13" s="8" t="s">
        <v>348</v>
      </c>
      <c r="E13" s="8" t="s">
        <v>396</v>
      </c>
      <c r="F13" s="8" t="s">
        <v>397</v>
      </c>
      <c r="G13" s="8" t="s">
        <v>398</v>
      </c>
      <c r="H13" s="8" t="s">
        <v>399</v>
      </c>
      <c r="I13" s="8" t="s">
        <v>400</v>
      </c>
      <c r="J13" s="8" t="s">
        <v>401</v>
      </c>
      <c r="K13" s="8" t="s">
        <v>297</v>
      </c>
    </row>
    <row r="14" customFormat="false" ht="15" hidden="false" customHeight="true" outlineLevel="0" collapsed="false">
      <c r="A14" s="28" t="n">
        <v>1</v>
      </c>
      <c r="B14" s="53"/>
      <c r="C14" s="44" t="n">
        <f aca="false">'Drop Rates'!$C$19</f>
        <v>8</v>
      </c>
      <c r="D14" s="44" t="n">
        <f aca="false">'Drop Rates'!$D$19</f>
        <v>1.5</v>
      </c>
      <c r="E14" s="26" t="n">
        <f aca="false">'Enemy Stats'!$G$19</f>
        <v>4</v>
      </c>
      <c r="F14" s="26" t="n">
        <f aca="false">'Enemy Stats'!$G$20</f>
        <v>10</v>
      </c>
      <c r="G14" s="29" t="n">
        <f aca="false">(C14*E14 + D14*F14 + IF(MOD(A14,$B$7)=0,1,0)*F14) * $E$6</f>
        <v>282</v>
      </c>
      <c r="H14" s="29" t="n">
        <f aca="false">G14+$E$7+$E$8</f>
        <v>327</v>
      </c>
      <c r="I14" s="45" t="n">
        <f aca="false">H14/60</f>
        <v>5.45</v>
      </c>
      <c r="J14" s="45" t="n">
        <f aca="false">I14</f>
        <v>5.45</v>
      </c>
      <c r="K14" s="31"/>
    </row>
    <row r="15" customFormat="false" ht="15" hidden="false" customHeight="true" outlineLevel="0" collapsed="false">
      <c r="A15" s="32" t="n">
        <v>2</v>
      </c>
      <c r="B15" s="54"/>
      <c r="C15" s="58" t="n">
        <f aca="false">'Drop Rates'!$C$20</f>
        <v>8</v>
      </c>
      <c r="D15" s="58" t="n">
        <f aca="false">'Drop Rates'!$D$20</f>
        <v>1.5</v>
      </c>
      <c r="E15" s="55" t="n">
        <f aca="false">'Enemy Stats'!$G$21</f>
        <v>4</v>
      </c>
      <c r="F15" s="55" t="n">
        <f aca="false">'Enemy Stats'!$G$22</f>
        <v>10</v>
      </c>
      <c r="G15" s="33" t="n">
        <f aca="false">(C15*E15 + D15*F15 + IF(MOD(A15,$B$7)=0,1,0)*F15) * $E$6</f>
        <v>282</v>
      </c>
      <c r="H15" s="33" t="n">
        <f aca="false">G15+$E$7+$E$8</f>
        <v>327</v>
      </c>
      <c r="I15" s="47" t="n">
        <f aca="false">H15/60</f>
        <v>5.45</v>
      </c>
      <c r="J15" s="47" t="n">
        <f aca="false">J14+I15</f>
        <v>10.9</v>
      </c>
      <c r="K15" s="35"/>
    </row>
    <row r="16" customFormat="false" ht="15" hidden="false" customHeight="true" outlineLevel="0" collapsed="false">
      <c r="A16" s="28" t="n">
        <v>3</v>
      </c>
      <c r="B16" s="53"/>
      <c r="C16" s="44" t="n">
        <f aca="false">'Drop Rates'!$C$21</f>
        <v>8</v>
      </c>
      <c r="D16" s="44" t="n">
        <f aca="false">'Drop Rates'!$D$21</f>
        <v>1.5</v>
      </c>
      <c r="E16" s="26" t="n">
        <f aca="false">'Enemy Stats'!$G$23</f>
        <v>4</v>
      </c>
      <c r="F16" s="26" t="n">
        <f aca="false">'Enemy Stats'!$G$24</f>
        <v>10</v>
      </c>
      <c r="G16" s="29" t="n">
        <f aca="false">(C16*E16 + D16*F16 + IF(MOD(A16,$B$7)=0,1,0)*F16) * $E$6</f>
        <v>282</v>
      </c>
      <c r="H16" s="29" t="n">
        <f aca="false">G16+$E$7+$E$8</f>
        <v>327</v>
      </c>
      <c r="I16" s="45" t="n">
        <f aca="false">H16/60</f>
        <v>5.45</v>
      </c>
      <c r="J16" s="45" t="n">
        <f aca="false">J15+I16</f>
        <v>16.35</v>
      </c>
      <c r="K16" s="31"/>
    </row>
    <row r="17" customFormat="false" ht="15" hidden="false" customHeight="true" outlineLevel="0" collapsed="false">
      <c r="A17" s="32" t="n">
        <v>4</v>
      </c>
      <c r="B17" s="54"/>
      <c r="C17" s="58" t="n">
        <f aca="false">'Drop Rates'!$C$22</f>
        <v>8</v>
      </c>
      <c r="D17" s="58" t="n">
        <f aca="false">'Drop Rates'!$D$22</f>
        <v>1.5</v>
      </c>
      <c r="E17" s="55" t="n">
        <f aca="false">'Enemy Stats'!$G$25</f>
        <v>4</v>
      </c>
      <c r="F17" s="55" t="n">
        <f aca="false">'Enemy Stats'!$G$26</f>
        <v>10</v>
      </c>
      <c r="G17" s="33" t="n">
        <f aca="false">(C17*E17 + D17*F17 + IF(MOD(A17,$B$7)=0,1,0)*F17) * $E$6</f>
        <v>282</v>
      </c>
      <c r="H17" s="33" t="n">
        <f aca="false">G17+$E$7+$E$8</f>
        <v>327</v>
      </c>
      <c r="I17" s="47" t="n">
        <f aca="false">H17/60</f>
        <v>5.45</v>
      </c>
      <c r="J17" s="47" t="n">
        <f aca="false">J16+I17</f>
        <v>21.8</v>
      </c>
      <c r="K17" s="35"/>
    </row>
    <row r="18" customFormat="false" ht="15" hidden="false" customHeight="true" outlineLevel="0" collapsed="false">
      <c r="A18" s="28" t="n">
        <v>5</v>
      </c>
      <c r="B18" s="53"/>
      <c r="C18" s="44" t="n">
        <f aca="false">'Drop Rates'!$C$23</f>
        <v>8</v>
      </c>
      <c r="D18" s="44" t="n">
        <f aca="false">'Drop Rates'!$D$23</f>
        <v>1.5</v>
      </c>
      <c r="E18" s="26" t="n">
        <f aca="false">'Enemy Stats'!$G$27</f>
        <v>4</v>
      </c>
      <c r="F18" s="26" t="n">
        <f aca="false">'Enemy Stats'!$G$28</f>
        <v>10</v>
      </c>
      <c r="G18" s="29" t="n">
        <f aca="false">(C18*E18 + D18*F18 + IF(MOD(A18,$B$7)=0,1,0)*F18) * $E$6</f>
        <v>282</v>
      </c>
      <c r="H18" s="29" t="n">
        <f aca="false">G18+$E$7+$E$8</f>
        <v>327</v>
      </c>
      <c r="I18" s="45" t="n">
        <f aca="false">H18/60</f>
        <v>5.45</v>
      </c>
      <c r="J18" s="45" t="n">
        <f aca="false">J17+I18</f>
        <v>27.25</v>
      </c>
      <c r="K18" s="31"/>
    </row>
    <row r="19" customFormat="false" ht="15" hidden="false" customHeight="true" outlineLevel="0" collapsed="false">
      <c r="A19" s="32" t="n">
        <v>6</v>
      </c>
      <c r="B19" s="54" t="s">
        <v>372</v>
      </c>
      <c r="C19" s="58" t="n">
        <f aca="false">'Drop Rates'!$C$24</f>
        <v>4</v>
      </c>
      <c r="D19" s="58" t="n">
        <f aca="false">'Drop Rates'!$D$24</f>
        <v>0</v>
      </c>
      <c r="E19" s="55" t="n">
        <f aca="false">'Enemy Stats'!$G$29</f>
        <v>4</v>
      </c>
      <c r="F19" s="55" t="n">
        <f aca="false">'Enemy Stats'!$G$30</f>
        <v>26</v>
      </c>
      <c r="G19" s="33" t="n">
        <f aca="false">(C19*E19 + D19*F19 + IF(MOD(A19,$B$7)=0,1,0)*F19) * $E$6</f>
        <v>252</v>
      </c>
      <c r="H19" s="33" t="n">
        <f aca="false">G19+$E$7+$E$8</f>
        <v>297</v>
      </c>
      <c r="I19" s="47" t="n">
        <f aca="false">H19/60</f>
        <v>4.95</v>
      </c>
      <c r="J19" s="47" t="n">
        <f aca="false">J18+I19</f>
        <v>32.2</v>
      </c>
      <c r="K19" s="35" t="s">
        <v>402</v>
      </c>
    </row>
    <row r="20" customFormat="false" ht="15" hidden="false" customHeight="true" outlineLevel="0" collapsed="false">
      <c r="A20" s="28" t="n">
        <v>7</v>
      </c>
      <c r="B20" s="53"/>
      <c r="C20" s="44" t="n">
        <f aca="false">'Drop Rates'!$C$25</f>
        <v>8</v>
      </c>
      <c r="D20" s="44" t="n">
        <f aca="false">'Drop Rates'!$D$25</f>
        <v>1.5</v>
      </c>
      <c r="E20" s="26" t="n">
        <f aca="false">'Enemy Stats'!$G$31</f>
        <v>4</v>
      </c>
      <c r="F20" s="26" t="n">
        <f aca="false">'Enemy Stats'!$G$32</f>
        <v>10</v>
      </c>
      <c r="G20" s="29" t="n">
        <f aca="false">(C20*E20 + D20*F20 + IF(MOD(A20,$B$7)=0,1,0)*F20) * $E$6</f>
        <v>282</v>
      </c>
      <c r="H20" s="29" t="n">
        <f aca="false">G20+$E$7+$E$8</f>
        <v>327</v>
      </c>
      <c r="I20" s="45" t="n">
        <f aca="false">H20/60</f>
        <v>5.45</v>
      </c>
      <c r="J20" s="45" t="n">
        <f aca="false">J19+I20</f>
        <v>37.65</v>
      </c>
      <c r="K20" s="31"/>
    </row>
    <row r="21" customFormat="false" ht="15" hidden="false" customHeight="true" outlineLevel="0" collapsed="false">
      <c r="A21" s="32" t="n">
        <v>8</v>
      </c>
      <c r="B21" s="54"/>
      <c r="C21" s="58" t="n">
        <f aca="false">'Drop Rates'!$C$26</f>
        <v>8</v>
      </c>
      <c r="D21" s="58" t="n">
        <f aca="false">'Drop Rates'!$D$26</f>
        <v>1.5</v>
      </c>
      <c r="E21" s="55" t="n">
        <f aca="false">'Enemy Stats'!$G$33</f>
        <v>4</v>
      </c>
      <c r="F21" s="55" t="n">
        <f aca="false">'Enemy Stats'!$G$34</f>
        <v>10</v>
      </c>
      <c r="G21" s="33" t="n">
        <f aca="false">(C21*E21 + D21*F21 + IF(MOD(A21,$B$7)=0,1,0)*F21) * $E$6</f>
        <v>282</v>
      </c>
      <c r="H21" s="33" t="n">
        <f aca="false">G21+$E$7+$E$8</f>
        <v>327</v>
      </c>
      <c r="I21" s="47" t="n">
        <f aca="false">H21/60</f>
        <v>5.45</v>
      </c>
      <c r="J21" s="47" t="n">
        <f aca="false">J20+I21</f>
        <v>43.1</v>
      </c>
      <c r="K21" s="35"/>
    </row>
    <row r="22" customFormat="false" ht="15" hidden="false" customHeight="true" outlineLevel="0" collapsed="false">
      <c r="A22" s="28" t="n">
        <v>9</v>
      </c>
      <c r="B22" s="53"/>
      <c r="C22" s="44" t="n">
        <f aca="false">'Drop Rates'!$C$27</f>
        <v>8</v>
      </c>
      <c r="D22" s="44" t="n">
        <f aca="false">'Drop Rates'!$D$27</f>
        <v>1.5</v>
      </c>
      <c r="E22" s="26" t="n">
        <f aca="false">'Enemy Stats'!$G$35</f>
        <v>4</v>
      </c>
      <c r="F22" s="26" t="n">
        <f aca="false">'Enemy Stats'!$G$36</f>
        <v>10</v>
      </c>
      <c r="G22" s="29" t="n">
        <f aca="false">(C22*E22 + D22*F22 + IF(MOD(A22,$B$7)=0,1,0)*F22) * $E$6</f>
        <v>282</v>
      </c>
      <c r="H22" s="29" t="n">
        <f aca="false">G22+$E$7+$E$8</f>
        <v>327</v>
      </c>
      <c r="I22" s="45" t="n">
        <f aca="false">H22/60</f>
        <v>5.45</v>
      </c>
      <c r="J22" s="45" t="n">
        <f aca="false">J21+I22</f>
        <v>48.55</v>
      </c>
      <c r="K22" s="31"/>
    </row>
    <row r="23" customFormat="false" ht="15" hidden="false" customHeight="true" outlineLevel="0" collapsed="false">
      <c r="A23" s="32" t="n">
        <v>10</v>
      </c>
      <c r="B23" s="54"/>
      <c r="C23" s="58" t="n">
        <f aca="false">'Drop Rates'!$C$28</f>
        <v>8</v>
      </c>
      <c r="D23" s="58" t="n">
        <f aca="false">'Drop Rates'!$D$28</f>
        <v>1.5</v>
      </c>
      <c r="E23" s="55" t="n">
        <f aca="false">'Enemy Stats'!$G$37</f>
        <v>4</v>
      </c>
      <c r="F23" s="55" t="n">
        <f aca="false">'Enemy Stats'!$G$38</f>
        <v>10</v>
      </c>
      <c r="G23" s="33" t="n">
        <f aca="false">(C23*E23 + D23*F23 + IF(MOD(A23,$B$7)=0,1,0)*F23) * $E$6</f>
        <v>282</v>
      </c>
      <c r="H23" s="33" t="n">
        <f aca="false">G23+$E$7+$E$8</f>
        <v>327</v>
      </c>
      <c r="I23" s="47" t="n">
        <f aca="false">H23/60</f>
        <v>5.45</v>
      </c>
      <c r="J23" s="47" t="n">
        <f aca="false">J22+I23</f>
        <v>54</v>
      </c>
      <c r="K23" s="35"/>
    </row>
    <row r="24" customFormat="false" ht="15" hidden="false" customHeight="true" outlineLevel="0" collapsed="false">
      <c r="A24" s="28" t="n">
        <v>11</v>
      </c>
      <c r="B24" s="53"/>
      <c r="C24" s="44" t="n">
        <f aca="false">'Drop Rates'!$C$29</f>
        <v>8</v>
      </c>
      <c r="D24" s="44" t="n">
        <f aca="false">'Drop Rates'!$D$29</f>
        <v>1.5</v>
      </c>
      <c r="E24" s="26" t="n">
        <f aca="false">'Enemy Stats'!$G$39</f>
        <v>4</v>
      </c>
      <c r="F24" s="26" t="n">
        <f aca="false">'Enemy Stats'!$G$40</f>
        <v>10</v>
      </c>
      <c r="G24" s="29" t="n">
        <f aca="false">(C24*E24 + D24*F24 + IF(MOD(A24,$B$7)=0,1,0)*F24) * $E$6</f>
        <v>282</v>
      </c>
      <c r="H24" s="29" t="n">
        <f aca="false">G24+$E$7+$E$8</f>
        <v>327</v>
      </c>
      <c r="I24" s="45" t="n">
        <f aca="false">H24/60</f>
        <v>5.45</v>
      </c>
      <c r="J24" s="45" t="n">
        <f aca="false">J23+I24</f>
        <v>59.45</v>
      </c>
      <c r="K24" s="31"/>
    </row>
    <row r="25" customFormat="false" ht="15" hidden="false" customHeight="true" outlineLevel="0" collapsed="false">
      <c r="A25" s="32" t="n">
        <v>12</v>
      </c>
      <c r="B25" s="54" t="s">
        <v>372</v>
      </c>
      <c r="C25" s="58" t="n">
        <f aca="false">'Drop Rates'!$C$30</f>
        <v>4</v>
      </c>
      <c r="D25" s="58" t="n">
        <f aca="false">'Drop Rates'!$D$30</f>
        <v>0</v>
      </c>
      <c r="E25" s="55" t="n">
        <f aca="false">'Enemy Stats'!$G$41</f>
        <v>4</v>
      </c>
      <c r="F25" s="55" t="n">
        <f aca="false">'Enemy Stats'!$G$42</f>
        <v>25</v>
      </c>
      <c r="G25" s="33" t="n">
        <f aca="false">(C25*E25 + D25*F25 + IF(MOD(A25,$B$7)=0,1,0)*F25) * $E$6</f>
        <v>246</v>
      </c>
      <c r="H25" s="33" t="n">
        <f aca="false">G25+$E$7+$E$8</f>
        <v>291</v>
      </c>
      <c r="I25" s="47" t="n">
        <f aca="false">H25/60</f>
        <v>4.85</v>
      </c>
      <c r="J25" s="47" t="n">
        <f aca="false">J24+I25</f>
        <v>64.3</v>
      </c>
      <c r="K25" s="35" t="s">
        <v>403</v>
      </c>
    </row>
    <row r="26" customFormat="false" ht="15" hidden="false" customHeight="true" outlineLevel="0" collapsed="false">
      <c r="A26" s="28" t="n">
        <v>13</v>
      </c>
      <c r="B26" s="53"/>
      <c r="C26" s="44" t="n">
        <f aca="false">'Drop Rates'!$C$31</f>
        <v>8</v>
      </c>
      <c r="D26" s="44" t="n">
        <f aca="false">'Drop Rates'!$D$31</f>
        <v>1.5</v>
      </c>
      <c r="E26" s="26" t="n">
        <f aca="false">'Enemy Stats'!$G$43</f>
        <v>3</v>
      </c>
      <c r="F26" s="26" t="n">
        <f aca="false">'Enemy Stats'!$G$44</f>
        <v>9</v>
      </c>
      <c r="G26" s="29" t="n">
        <f aca="false">(C26*E26 + D26*F26 + IF(MOD(A26,$B$7)=0,1,0)*F26) * $E$6</f>
        <v>225</v>
      </c>
      <c r="H26" s="29" t="n">
        <f aca="false">G26+$E$7+$E$8</f>
        <v>270</v>
      </c>
      <c r="I26" s="45" t="n">
        <f aca="false">H26/60</f>
        <v>4.5</v>
      </c>
      <c r="J26" s="45" t="n">
        <f aca="false">J25+I26</f>
        <v>68.8</v>
      </c>
      <c r="K26" s="31"/>
    </row>
    <row r="27" customFormat="false" ht="15" hidden="false" customHeight="true" outlineLevel="0" collapsed="false">
      <c r="A27" s="32" t="n">
        <v>14</v>
      </c>
      <c r="B27" s="54"/>
      <c r="C27" s="58" t="n">
        <f aca="false">'Drop Rates'!$C$32</f>
        <v>8</v>
      </c>
      <c r="D27" s="58" t="n">
        <f aca="false">'Drop Rates'!$D$32</f>
        <v>1.5</v>
      </c>
      <c r="E27" s="55" t="n">
        <f aca="false">'Enemy Stats'!$G$45</f>
        <v>3</v>
      </c>
      <c r="F27" s="55" t="n">
        <f aca="false">'Enemy Stats'!$G$46</f>
        <v>9</v>
      </c>
      <c r="G27" s="33" t="n">
        <f aca="false">(C27*E27 + D27*F27 + IF(MOD(A27,$B$7)=0,1,0)*F27) * $E$6</f>
        <v>225</v>
      </c>
      <c r="H27" s="33" t="n">
        <f aca="false">G27+$E$7+$E$8</f>
        <v>270</v>
      </c>
      <c r="I27" s="47" t="n">
        <f aca="false">H27/60</f>
        <v>4.5</v>
      </c>
      <c r="J27" s="47" t="n">
        <f aca="false">J26+I27</f>
        <v>73.3</v>
      </c>
      <c r="K27" s="35"/>
    </row>
    <row r="28" customFormat="false" ht="15" hidden="false" customHeight="true" outlineLevel="0" collapsed="false">
      <c r="A28" s="28" t="n">
        <v>15</v>
      </c>
      <c r="B28" s="53"/>
      <c r="C28" s="44" t="n">
        <f aca="false">'Drop Rates'!$C$33</f>
        <v>8</v>
      </c>
      <c r="D28" s="44" t="n">
        <f aca="false">'Drop Rates'!$D$33</f>
        <v>1.5</v>
      </c>
      <c r="E28" s="26" t="n">
        <f aca="false">'Enemy Stats'!$G$47</f>
        <v>3</v>
      </c>
      <c r="F28" s="26" t="n">
        <f aca="false">'Enemy Stats'!$G$48</f>
        <v>9</v>
      </c>
      <c r="G28" s="29" t="n">
        <f aca="false">(C28*E28 + D28*F28 + IF(MOD(A28,$B$7)=0,1,0)*F28) * $E$6</f>
        <v>225</v>
      </c>
      <c r="H28" s="29" t="n">
        <f aca="false">G28+$E$7+$E$8</f>
        <v>270</v>
      </c>
      <c r="I28" s="45" t="n">
        <f aca="false">H28/60</f>
        <v>4.5</v>
      </c>
      <c r="J28" s="45" t="n">
        <f aca="false">J27+I28</f>
        <v>77.8</v>
      </c>
      <c r="K28" s="31"/>
    </row>
    <row r="29" customFormat="false" ht="15" hidden="false" customHeight="true" outlineLevel="0" collapsed="false">
      <c r="A29" s="32" t="n">
        <v>16</v>
      </c>
      <c r="B29" s="54"/>
      <c r="C29" s="58" t="n">
        <f aca="false">'Drop Rates'!$C$34</f>
        <v>8</v>
      </c>
      <c r="D29" s="58" t="n">
        <f aca="false">'Drop Rates'!$D$34</f>
        <v>1.5</v>
      </c>
      <c r="E29" s="55" t="n">
        <f aca="false">'Enemy Stats'!$G$49</f>
        <v>3</v>
      </c>
      <c r="F29" s="55" t="n">
        <f aca="false">'Enemy Stats'!$G$50</f>
        <v>9</v>
      </c>
      <c r="G29" s="33" t="n">
        <f aca="false">(C29*E29 + D29*F29 + IF(MOD(A29,$B$7)=0,1,0)*F29) * $E$6</f>
        <v>225</v>
      </c>
      <c r="H29" s="33" t="n">
        <f aca="false">G29+$E$7+$E$8</f>
        <v>270</v>
      </c>
      <c r="I29" s="47" t="n">
        <f aca="false">H29/60</f>
        <v>4.5</v>
      </c>
      <c r="J29" s="47" t="n">
        <f aca="false">J28+I29</f>
        <v>82.3</v>
      </c>
      <c r="K29" s="35"/>
    </row>
    <row r="30" customFormat="false" ht="15" hidden="false" customHeight="true" outlineLevel="0" collapsed="false">
      <c r="A30" s="28" t="n">
        <v>17</v>
      </c>
      <c r="B30" s="53"/>
      <c r="C30" s="44" t="n">
        <f aca="false">'Drop Rates'!$C$35</f>
        <v>8</v>
      </c>
      <c r="D30" s="44" t="n">
        <f aca="false">'Drop Rates'!$D$35</f>
        <v>1.5</v>
      </c>
      <c r="E30" s="26" t="n">
        <f aca="false">'Enemy Stats'!$G$51</f>
        <v>3</v>
      </c>
      <c r="F30" s="26" t="n">
        <f aca="false">'Enemy Stats'!$G$52</f>
        <v>9</v>
      </c>
      <c r="G30" s="29" t="n">
        <f aca="false">(C30*E30 + D30*F30 + IF(MOD(A30,$B$7)=0,1,0)*F30) * $E$6</f>
        <v>225</v>
      </c>
      <c r="H30" s="29" t="n">
        <f aca="false">G30+$E$7+$E$8</f>
        <v>270</v>
      </c>
      <c r="I30" s="45" t="n">
        <f aca="false">H30/60</f>
        <v>4.5</v>
      </c>
      <c r="J30" s="45" t="n">
        <f aca="false">J29+I30</f>
        <v>86.8</v>
      </c>
      <c r="K30" s="31"/>
    </row>
    <row r="31" customFormat="false" ht="15" hidden="false" customHeight="true" outlineLevel="0" collapsed="false">
      <c r="A31" s="32" t="n">
        <v>18</v>
      </c>
      <c r="B31" s="54" t="s">
        <v>372</v>
      </c>
      <c r="C31" s="58" t="n">
        <f aca="false">'Drop Rates'!$C$36</f>
        <v>4</v>
      </c>
      <c r="D31" s="58" t="n">
        <f aca="false">'Drop Rates'!$D$36</f>
        <v>0</v>
      </c>
      <c r="E31" s="55" t="n">
        <f aca="false">'Enemy Stats'!$G$53</f>
        <v>3</v>
      </c>
      <c r="F31" s="55" t="n">
        <f aca="false">'Enemy Stats'!$G$54</f>
        <v>23</v>
      </c>
      <c r="G31" s="33" t="n">
        <f aca="false">(C31*E31 + D31*F31 + IF(MOD(A31,$B$7)=0,1,0)*F31) * $E$6</f>
        <v>210</v>
      </c>
      <c r="H31" s="33" t="n">
        <f aca="false">G31+$E$7+$E$8</f>
        <v>255</v>
      </c>
      <c r="I31" s="47" t="n">
        <f aca="false">H31/60</f>
        <v>4.25</v>
      </c>
      <c r="J31" s="47" t="n">
        <f aca="false">J30+I31</f>
        <v>91.05</v>
      </c>
      <c r="K31" s="35" t="s">
        <v>404</v>
      </c>
    </row>
    <row r="32" customFormat="false" ht="15" hidden="false" customHeight="true" outlineLevel="0" collapsed="false">
      <c r="A32" s="28" t="n">
        <v>19</v>
      </c>
      <c r="B32" s="53"/>
      <c r="C32" s="44" t="n">
        <f aca="false">'Drop Rates'!$C$37</f>
        <v>8</v>
      </c>
      <c r="D32" s="44" t="n">
        <f aca="false">'Drop Rates'!$D$37</f>
        <v>1.5</v>
      </c>
      <c r="E32" s="26" t="n">
        <f aca="false">'Enemy Stats'!$G$55</f>
        <v>3</v>
      </c>
      <c r="F32" s="26" t="n">
        <f aca="false">'Enemy Stats'!$G$56</f>
        <v>9</v>
      </c>
      <c r="G32" s="29" t="n">
        <f aca="false">(C32*E32 + D32*F32 + IF(MOD(A32,$B$7)=0,1,0)*F32) * $E$6</f>
        <v>225</v>
      </c>
      <c r="H32" s="29" t="n">
        <f aca="false">G32+$E$7+$E$8</f>
        <v>270</v>
      </c>
      <c r="I32" s="45" t="n">
        <f aca="false">H32/60</f>
        <v>4.5</v>
      </c>
      <c r="J32" s="45" t="n">
        <f aca="false">J31+I32</f>
        <v>95.55</v>
      </c>
      <c r="K32" s="31"/>
    </row>
    <row r="33" customFormat="false" ht="15" hidden="false" customHeight="true" outlineLevel="0" collapsed="false">
      <c r="A33" s="32" t="n">
        <v>20</v>
      </c>
      <c r="B33" s="54"/>
      <c r="C33" s="58" t="n">
        <f aca="false">'Drop Rates'!$C$38</f>
        <v>8</v>
      </c>
      <c r="D33" s="58" t="n">
        <f aca="false">'Drop Rates'!$D$38</f>
        <v>1.5</v>
      </c>
      <c r="E33" s="55" t="n">
        <f aca="false">'Enemy Stats'!$G$57</f>
        <v>3</v>
      </c>
      <c r="F33" s="55" t="n">
        <f aca="false">'Enemy Stats'!$G$58</f>
        <v>9</v>
      </c>
      <c r="G33" s="33" t="n">
        <f aca="false">(C33*E33 + D33*F33 + IF(MOD(A33,$B$7)=0,1,0)*F33) * $E$6</f>
        <v>225</v>
      </c>
      <c r="H33" s="33" t="n">
        <f aca="false">G33+$E$7+$E$8</f>
        <v>270</v>
      </c>
      <c r="I33" s="47" t="n">
        <f aca="false">H33/60</f>
        <v>4.5</v>
      </c>
      <c r="J33" s="47" t="n">
        <f aca="false">J32+I33</f>
        <v>100.05</v>
      </c>
      <c r="K33" s="35"/>
    </row>
    <row r="34" customFormat="false" ht="15" hidden="false" customHeight="true" outlineLevel="0" collapsed="false">
      <c r="A34" s="28" t="n">
        <v>21</v>
      </c>
      <c r="B34" s="53"/>
      <c r="C34" s="44" t="n">
        <f aca="false">'Drop Rates'!$C$39</f>
        <v>8</v>
      </c>
      <c r="D34" s="44" t="n">
        <f aca="false">'Drop Rates'!$D$39</f>
        <v>1.5</v>
      </c>
      <c r="E34" s="26" t="n">
        <f aca="false">'Enemy Stats'!$G$59</f>
        <v>3</v>
      </c>
      <c r="F34" s="26" t="n">
        <f aca="false">'Enemy Stats'!$G$60</f>
        <v>9</v>
      </c>
      <c r="G34" s="29" t="n">
        <f aca="false">(C34*E34 + D34*F34 + IF(MOD(A34,$B$7)=0,1,0)*F34) * $E$6</f>
        <v>225</v>
      </c>
      <c r="H34" s="29" t="n">
        <f aca="false">G34+$E$7+$E$8</f>
        <v>270</v>
      </c>
      <c r="I34" s="45" t="n">
        <f aca="false">H34/60</f>
        <v>4.5</v>
      </c>
      <c r="J34" s="45" t="n">
        <f aca="false">J33+I34</f>
        <v>104.55</v>
      </c>
      <c r="K34" s="31"/>
    </row>
    <row r="35" customFormat="false" ht="15" hidden="false" customHeight="true" outlineLevel="0" collapsed="false">
      <c r="A35" s="32" t="n">
        <v>22</v>
      </c>
      <c r="B35" s="54"/>
      <c r="C35" s="58" t="n">
        <f aca="false">'Drop Rates'!$C$40</f>
        <v>8</v>
      </c>
      <c r="D35" s="58" t="n">
        <f aca="false">'Drop Rates'!$D$40</f>
        <v>1.5</v>
      </c>
      <c r="E35" s="55" t="n">
        <f aca="false">'Enemy Stats'!$G$61</f>
        <v>3</v>
      </c>
      <c r="F35" s="55" t="n">
        <f aca="false">'Enemy Stats'!$G$62</f>
        <v>9</v>
      </c>
      <c r="G35" s="33" t="n">
        <f aca="false">(C35*E35 + D35*F35 + IF(MOD(A35,$B$7)=0,1,0)*F35) * $E$6</f>
        <v>225</v>
      </c>
      <c r="H35" s="33" t="n">
        <f aca="false">G35+$E$7+$E$8</f>
        <v>270</v>
      </c>
      <c r="I35" s="47" t="n">
        <f aca="false">H35/60</f>
        <v>4.5</v>
      </c>
      <c r="J35" s="47" t="n">
        <f aca="false">J34+I35</f>
        <v>109.05</v>
      </c>
      <c r="K35" s="35"/>
    </row>
    <row r="36" customFormat="false" ht="15" hidden="false" customHeight="true" outlineLevel="0" collapsed="false">
      <c r="A36" s="28" t="n">
        <v>23</v>
      </c>
      <c r="B36" s="53"/>
      <c r="C36" s="44" t="n">
        <f aca="false">'Drop Rates'!$C$41</f>
        <v>8</v>
      </c>
      <c r="D36" s="44" t="n">
        <f aca="false">'Drop Rates'!$D$41</f>
        <v>1.5</v>
      </c>
      <c r="E36" s="26" t="n">
        <f aca="false">'Enemy Stats'!$G$63</f>
        <v>3</v>
      </c>
      <c r="F36" s="26" t="n">
        <f aca="false">'Enemy Stats'!$G$64</f>
        <v>9</v>
      </c>
      <c r="G36" s="29" t="n">
        <f aca="false">(C36*E36 + D36*F36 + IF(MOD(A36,$B$7)=0,1,0)*F36) * $E$6</f>
        <v>225</v>
      </c>
      <c r="H36" s="29" t="n">
        <f aca="false">G36+$E$7+$E$8</f>
        <v>270</v>
      </c>
      <c r="I36" s="45" t="n">
        <f aca="false">H36/60</f>
        <v>4.5</v>
      </c>
      <c r="J36" s="45" t="n">
        <f aca="false">J35+I36</f>
        <v>113.55</v>
      </c>
      <c r="K36" s="31"/>
    </row>
    <row r="37" customFormat="false" ht="15" hidden="false" customHeight="true" outlineLevel="0" collapsed="false">
      <c r="A37" s="32" t="n">
        <v>24</v>
      </c>
      <c r="B37" s="54" t="s">
        <v>372</v>
      </c>
      <c r="C37" s="58" t="n">
        <f aca="false">'Drop Rates'!$C$42</f>
        <v>4</v>
      </c>
      <c r="D37" s="58" t="n">
        <f aca="false">'Drop Rates'!$D$42</f>
        <v>0</v>
      </c>
      <c r="E37" s="55" t="n">
        <f aca="false">'Enemy Stats'!$G$65</f>
        <v>3</v>
      </c>
      <c r="F37" s="55" t="n">
        <f aca="false">'Enemy Stats'!$G$66</f>
        <v>22</v>
      </c>
      <c r="G37" s="33" t="n">
        <f aca="false">(C37*E37 + D37*F37 + IF(MOD(A37,$B$7)=0,1,0)*F37) * $E$6</f>
        <v>204</v>
      </c>
      <c r="H37" s="33" t="n">
        <f aca="false">G37+$E$7+$E$8</f>
        <v>249</v>
      </c>
      <c r="I37" s="47" t="n">
        <f aca="false">H37/60</f>
        <v>4.15</v>
      </c>
      <c r="J37" s="47" t="n">
        <f aca="false">J36+I37</f>
        <v>117.7</v>
      </c>
      <c r="K37" s="35" t="s">
        <v>405</v>
      </c>
    </row>
    <row r="38" customFormat="false" ht="15" hidden="false" customHeight="true" outlineLevel="0" collapsed="false">
      <c r="A38" s="28" t="n">
        <v>25</v>
      </c>
      <c r="B38" s="53"/>
      <c r="C38" s="44" t="n">
        <f aca="false">'Drop Rates'!$C$43</f>
        <v>8</v>
      </c>
      <c r="D38" s="44" t="n">
        <f aca="false">'Drop Rates'!$D$43</f>
        <v>1.5</v>
      </c>
      <c r="E38" s="26" t="n">
        <f aca="false">'Enemy Stats'!$G$67</f>
        <v>3</v>
      </c>
      <c r="F38" s="26" t="n">
        <f aca="false">'Enemy Stats'!$G$68</f>
        <v>9</v>
      </c>
      <c r="G38" s="29" t="n">
        <f aca="false">(C38*E38 + D38*F38 + IF(MOD(A38,$B$7)=0,1,0)*F38) * $E$6</f>
        <v>225</v>
      </c>
      <c r="H38" s="29" t="n">
        <f aca="false">G38+$E$7+$E$8</f>
        <v>270</v>
      </c>
      <c r="I38" s="45" t="n">
        <f aca="false">H38/60</f>
        <v>4.5</v>
      </c>
      <c r="J38" s="45" t="n">
        <f aca="false">J37+I38</f>
        <v>122.2</v>
      </c>
      <c r="K38" s="31"/>
    </row>
    <row r="39" customFormat="false" ht="15" hidden="false" customHeight="true" outlineLevel="0" collapsed="false">
      <c r="A39" s="32" t="n">
        <v>26</v>
      </c>
      <c r="B39" s="54"/>
      <c r="C39" s="58" t="n">
        <f aca="false">'Drop Rates'!$C$44</f>
        <v>8</v>
      </c>
      <c r="D39" s="58" t="n">
        <f aca="false">'Drop Rates'!$D$44</f>
        <v>1.5</v>
      </c>
      <c r="E39" s="55" t="n">
        <f aca="false">'Enemy Stats'!$G$69</f>
        <v>3</v>
      </c>
      <c r="F39" s="55" t="n">
        <f aca="false">'Enemy Stats'!$G$70</f>
        <v>8</v>
      </c>
      <c r="G39" s="33" t="n">
        <f aca="false">(C39*E39 + D39*F39 + IF(MOD(A39,$B$7)=0,1,0)*F39) * $E$6</f>
        <v>216</v>
      </c>
      <c r="H39" s="33" t="n">
        <f aca="false">G39+$E$7+$E$8</f>
        <v>261</v>
      </c>
      <c r="I39" s="47" t="n">
        <f aca="false">H39/60</f>
        <v>4.35</v>
      </c>
      <c r="J39" s="47" t="n">
        <f aca="false">J38+I39</f>
        <v>126.55</v>
      </c>
      <c r="K39" s="35"/>
    </row>
    <row r="40" customFormat="false" ht="15" hidden="false" customHeight="true" outlineLevel="0" collapsed="false">
      <c r="A40" s="28" t="n">
        <v>27</v>
      </c>
      <c r="B40" s="53"/>
      <c r="C40" s="44" t="n">
        <f aca="false">'Drop Rates'!$C$45</f>
        <v>8</v>
      </c>
      <c r="D40" s="44" t="n">
        <f aca="false">'Drop Rates'!$D$45</f>
        <v>1.5</v>
      </c>
      <c r="E40" s="26" t="n">
        <f aca="false">'Enemy Stats'!$G$71</f>
        <v>3</v>
      </c>
      <c r="F40" s="26" t="n">
        <f aca="false">'Enemy Stats'!$G$72</f>
        <v>8</v>
      </c>
      <c r="G40" s="29" t="n">
        <f aca="false">(C40*E40 + D40*F40 + IF(MOD(A40,$B$7)=0,1,0)*F40) * $E$6</f>
        <v>216</v>
      </c>
      <c r="H40" s="29" t="n">
        <f aca="false">G40+$E$7+$E$8</f>
        <v>261</v>
      </c>
      <c r="I40" s="45" t="n">
        <f aca="false">H40/60</f>
        <v>4.35</v>
      </c>
      <c r="J40" s="45" t="n">
        <f aca="false">J39+I40</f>
        <v>130.9</v>
      </c>
      <c r="K40" s="31"/>
    </row>
    <row r="41" customFormat="false" ht="15" hidden="false" customHeight="true" outlineLevel="0" collapsed="false">
      <c r="A41" s="32" t="n">
        <v>28</v>
      </c>
      <c r="B41" s="54"/>
      <c r="C41" s="58" t="n">
        <f aca="false">'Drop Rates'!$C$46</f>
        <v>8</v>
      </c>
      <c r="D41" s="58" t="n">
        <f aca="false">'Drop Rates'!$D$46</f>
        <v>1.5</v>
      </c>
      <c r="E41" s="55" t="n">
        <f aca="false">'Enemy Stats'!$G$73</f>
        <v>3</v>
      </c>
      <c r="F41" s="55" t="n">
        <f aca="false">'Enemy Stats'!$G$74</f>
        <v>8</v>
      </c>
      <c r="G41" s="33" t="n">
        <f aca="false">(C41*E41 + D41*F41 + IF(MOD(A41,$B$7)=0,1,0)*F41) * $E$6</f>
        <v>216</v>
      </c>
      <c r="H41" s="33" t="n">
        <f aca="false">G41+$E$7+$E$8</f>
        <v>261</v>
      </c>
      <c r="I41" s="47" t="n">
        <f aca="false">H41/60</f>
        <v>4.35</v>
      </c>
      <c r="J41" s="47" t="n">
        <f aca="false">J40+I41</f>
        <v>135.25</v>
      </c>
      <c r="K41" s="35"/>
    </row>
    <row r="42" customFormat="false" ht="15" hidden="false" customHeight="true" outlineLevel="0" collapsed="false">
      <c r="A42" s="28" t="n">
        <v>29</v>
      </c>
      <c r="B42" s="53"/>
      <c r="C42" s="44" t="n">
        <f aca="false">'Drop Rates'!$C$47</f>
        <v>8</v>
      </c>
      <c r="D42" s="44" t="n">
        <f aca="false">'Drop Rates'!$D$47</f>
        <v>1.5</v>
      </c>
      <c r="E42" s="26" t="n">
        <f aca="false">'Enemy Stats'!$G$75</f>
        <v>3</v>
      </c>
      <c r="F42" s="26" t="n">
        <f aca="false">'Enemy Stats'!$G$76</f>
        <v>8</v>
      </c>
      <c r="G42" s="29" t="n">
        <f aca="false">(C42*E42 + D42*F42 + IF(MOD(A42,$B$7)=0,1,0)*F42) * $E$6</f>
        <v>216</v>
      </c>
      <c r="H42" s="29" t="n">
        <f aca="false">G42+$E$7+$E$8</f>
        <v>261</v>
      </c>
      <c r="I42" s="45" t="n">
        <f aca="false">H42/60</f>
        <v>4.35</v>
      </c>
      <c r="J42" s="45" t="n">
        <f aca="false">J41+I42</f>
        <v>139.6</v>
      </c>
      <c r="K42" s="31"/>
    </row>
    <row r="43" customFormat="false" ht="15" hidden="false" customHeight="true" outlineLevel="0" collapsed="false">
      <c r="A43" s="32" t="n">
        <v>30</v>
      </c>
      <c r="B43" s="54" t="s">
        <v>372</v>
      </c>
      <c r="C43" s="58" t="n">
        <f aca="false">'Drop Rates'!$C$48</f>
        <v>4</v>
      </c>
      <c r="D43" s="58" t="n">
        <f aca="false">'Drop Rates'!$D$48</f>
        <v>0</v>
      </c>
      <c r="E43" s="55" t="n">
        <f aca="false">'Enemy Stats'!$G$77</f>
        <v>3</v>
      </c>
      <c r="F43" s="55" t="n">
        <f aca="false">'Enemy Stats'!$G$78</f>
        <v>21</v>
      </c>
      <c r="G43" s="33" t="n">
        <f aca="false">(C43*E43 + D43*F43 + IF(MOD(A43,$B$7)=0,1,0)*F43) * $E$6</f>
        <v>198</v>
      </c>
      <c r="H43" s="33" t="n">
        <f aca="false">G43+$E$7+$E$8</f>
        <v>243</v>
      </c>
      <c r="I43" s="47" t="n">
        <f aca="false">H43/60</f>
        <v>4.05</v>
      </c>
      <c r="J43" s="47" t="n">
        <f aca="false">J42+I43</f>
        <v>143.65</v>
      </c>
      <c r="K43" s="35" t="s">
        <v>406</v>
      </c>
    </row>
    <row r="44" customFormat="false" ht="21.75" hidden="false" customHeight="true" outlineLevel="0" collapsed="false">
      <c r="A44" s="9" t="s">
        <v>407</v>
      </c>
      <c r="B44" s="9"/>
      <c r="C44" s="9"/>
      <c r="D44" s="9"/>
      <c r="E44" s="9"/>
      <c r="F44" s="9"/>
      <c r="G44" s="9"/>
      <c r="H44" s="9"/>
      <c r="I44" s="9"/>
      <c r="J44" s="9"/>
      <c r="K44" s="9"/>
    </row>
    <row r="45" customFormat="false" ht="15" hidden="false" customHeight="true" outlineLevel="0" collapsed="false">
      <c r="A45" s="59" t="s">
        <v>408</v>
      </c>
      <c r="B45" s="59"/>
      <c r="C45" s="59"/>
      <c r="D45" s="59"/>
      <c r="E45" s="59"/>
      <c r="F45" s="59"/>
      <c r="G45" s="59"/>
      <c r="H45" s="59"/>
      <c r="I45" s="56" t="n">
        <f aca="false">SUM(I14:I43)</f>
        <v>143.65</v>
      </c>
      <c r="J45" s="60"/>
      <c r="K45" s="60"/>
    </row>
    <row r="46" customFormat="false" ht="15" hidden="false" customHeight="true" outlineLevel="0" collapsed="false">
      <c r="A46" s="59" t="s">
        <v>409</v>
      </c>
      <c r="B46" s="59"/>
      <c r="C46" s="59"/>
      <c r="D46" s="59"/>
      <c r="E46" s="59"/>
      <c r="F46" s="59"/>
      <c r="G46" s="59"/>
      <c r="H46" s="59"/>
      <c r="I46" s="56" t="n">
        <f aca="false">SUM(I14:I43)/60</f>
        <v>2.39416666666667</v>
      </c>
      <c r="J46" s="60"/>
      <c r="K46" s="60"/>
    </row>
    <row r="47" customFormat="false" ht="15" hidden="false" customHeight="true" outlineLevel="0" collapsed="false">
      <c r="A47" s="59" t="s">
        <v>410</v>
      </c>
      <c r="B47" s="59"/>
      <c r="C47" s="59"/>
      <c r="D47" s="59"/>
      <c r="E47" s="59"/>
      <c r="F47" s="59"/>
      <c r="G47" s="59"/>
      <c r="H47" s="59"/>
      <c r="I47" s="56" t="n">
        <f aca="false">AVERAGE(I14:I43)</f>
        <v>4.78833333333333</v>
      </c>
      <c r="J47" s="60"/>
      <c r="K47" s="60"/>
    </row>
    <row r="48" customFormat="false" ht="15" hidden="false" customHeight="true" outlineLevel="0" collapsed="false">
      <c r="A48" s="59" t="s">
        <v>411</v>
      </c>
      <c r="B48" s="59"/>
      <c r="C48" s="59"/>
      <c r="D48" s="59"/>
      <c r="E48" s="59"/>
      <c r="F48" s="59"/>
      <c r="G48" s="59"/>
      <c r="H48" s="59"/>
      <c r="I48" s="56" t="n">
        <f aca="false">AVERAGE(I14:I43) - $B$6</f>
        <v>-0.211666666666667</v>
      </c>
      <c r="J48" s="60"/>
      <c r="K48" s="60"/>
    </row>
  </sheetData>
  <mergeCells count="10">
    <mergeCell ref="A1:K1"/>
    <mergeCell ref="A2:K2"/>
    <mergeCell ref="A4:K4"/>
    <mergeCell ref="A10:K10"/>
    <mergeCell ref="A12:K12"/>
    <mergeCell ref="A44:K44"/>
    <mergeCell ref="A45:H45"/>
    <mergeCell ref="A46:H46"/>
    <mergeCell ref="A47:H47"/>
    <mergeCell ref="A48:H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4" min="2" style="1" width="12"/>
    <col collapsed="false" customWidth="true" hidden="false" outlineLevel="0" max="7" min="5" style="1" width="14"/>
    <col collapsed="false" customWidth="true" hidden="false" outlineLevel="0" max="8" min="8" style="1" width="36"/>
  </cols>
  <sheetData>
    <row r="1" customFormat="false" ht="19.5" hidden="false" customHeight="true" outlineLevel="0" collapsed="false">
      <c r="A1" s="2" t="s">
        <v>412</v>
      </c>
      <c r="B1" s="2"/>
      <c r="C1" s="2"/>
      <c r="D1" s="2"/>
      <c r="E1" s="2"/>
      <c r="F1" s="2"/>
      <c r="G1" s="2"/>
      <c r="H1" s="2"/>
    </row>
    <row r="2" customFormat="false" ht="15" hidden="false" customHeight="true" outlineLevel="0" collapsed="false">
      <c r="A2" s="3" t="s">
        <v>413</v>
      </c>
      <c r="B2" s="3"/>
      <c r="C2" s="3"/>
      <c r="D2" s="3"/>
      <c r="E2" s="3"/>
      <c r="F2" s="3"/>
      <c r="G2" s="3"/>
      <c r="H2" s="3"/>
    </row>
    <row r="4" customFormat="false" ht="21.75" hidden="false" customHeight="true" outlineLevel="0" collapsed="false">
      <c r="A4" s="9" t="s">
        <v>288</v>
      </c>
      <c r="B4" s="9"/>
      <c r="C4" s="9"/>
      <c r="D4" s="9"/>
      <c r="E4" s="9"/>
      <c r="F4" s="9"/>
      <c r="G4" s="9"/>
      <c r="H4" s="9"/>
    </row>
    <row r="5" customFormat="false" ht="15" hidden="false" customHeight="true" outlineLevel="0" collapsed="false">
      <c r="A5" s="8" t="s">
        <v>289</v>
      </c>
      <c r="B5" s="8" t="s">
        <v>75</v>
      </c>
    </row>
    <row r="6" customFormat="false" ht="15" hidden="false" customHeight="true" outlineLevel="0" collapsed="false">
      <c r="A6" s="25" t="s">
        <v>198</v>
      </c>
      <c r="B6" s="26" t="n">
        <f aca="false">Assumptions!$C$66</f>
        <v>10</v>
      </c>
    </row>
    <row r="7" customFormat="false" ht="15" hidden="false" customHeight="true" outlineLevel="0" collapsed="false">
      <c r="A7" s="25" t="s">
        <v>200</v>
      </c>
      <c r="B7" s="44" t="n">
        <f aca="false">Assumptions!$C$67</f>
        <v>1.8</v>
      </c>
    </row>
    <row r="8" customFormat="false" ht="15" hidden="false" customHeight="true" outlineLevel="0" collapsed="false">
      <c r="A8" s="25" t="s">
        <v>414</v>
      </c>
      <c r="B8" s="44" t="n">
        <f aca="false">Assumptions!$C$68</f>
        <v>1</v>
      </c>
    </row>
    <row r="9" customFormat="false" ht="15" hidden="false" customHeight="true" outlineLevel="0" collapsed="false">
      <c r="A9" s="25" t="s">
        <v>415</v>
      </c>
      <c r="B9" s="44" t="n">
        <f aca="false">Assumptions!$C$69</f>
        <v>2.5</v>
      </c>
    </row>
    <row r="10" customFormat="false" ht="15" hidden="false" customHeight="true" outlineLevel="0" collapsed="false">
      <c r="A10" s="25" t="s">
        <v>416</v>
      </c>
      <c r="B10" s="44" t="n">
        <f aca="false">Assumptions!$C$70</f>
        <v>6</v>
      </c>
    </row>
    <row r="11" customFormat="false" ht="15" hidden="false" customHeight="true" outlineLevel="0" collapsed="false">
      <c r="A11" s="25" t="s">
        <v>417</v>
      </c>
      <c r="B11" s="44" t="n">
        <f aca="false">Assumptions!$C$71</f>
        <v>15</v>
      </c>
    </row>
    <row r="12" customFormat="false" ht="15" hidden="false" customHeight="true" outlineLevel="0" collapsed="false">
      <c r="A12" s="25" t="s">
        <v>210</v>
      </c>
      <c r="B12" s="26" t="n">
        <f aca="false">Assumptions!$C$72</f>
        <v>4</v>
      </c>
    </row>
    <row r="13" customFormat="false" ht="15" hidden="false" customHeight="true" outlineLevel="0" collapsed="false">
      <c r="A13" s="25" t="s">
        <v>418</v>
      </c>
      <c r="B13" s="44" t="n">
        <f aca="false">Currencies!$F$51</f>
        <v>167.125</v>
      </c>
    </row>
    <row r="15" customFormat="false" ht="21.75" hidden="false" customHeight="true" outlineLevel="0" collapsed="false">
      <c r="A15" s="9" t="s">
        <v>419</v>
      </c>
      <c r="B15" s="9"/>
      <c r="C15" s="9"/>
      <c r="D15" s="9"/>
      <c r="E15" s="9"/>
      <c r="F15" s="9"/>
      <c r="G15" s="9"/>
      <c r="H15" s="9"/>
    </row>
    <row r="16" customFormat="false" ht="27.75" hidden="false" customHeight="true" outlineLevel="0" collapsed="false">
      <c r="A16" s="8" t="s">
        <v>420</v>
      </c>
      <c r="B16" s="8" t="s">
        <v>421</v>
      </c>
      <c r="C16" s="8" t="s">
        <v>422</v>
      </c>
      <c r="D16" s="8" t="s">
        <v>423</v>
      </c>
      <c r="E16" s="8" t="s">
        <v>424</v>
      </c>
      <c r="F16" s="8" t="s">
        <v>425</v>
      </c>
      <c r="G16" s="8" t="s">
        <v>426</v>
      </c>
      <c r="H16" s="8" t="s">
        <v>297</v>
      </c>
    </row>
    <row r="17" customFormat="false" ht="15" hidden="false" customHeight="true" outlineLevel="0" collapsed="false">
      <c r="A17" s="11" t="s">
        <v>338</v>
      </c>
      <c r="B17" s="29" t="n">
        <f aca="false">ROUND($B$6*$B$8,0)</f>
        <v>10</v>
      </c>
      <c r="C17" s="29" t="n">
        <f aca="false">ROUND($B$6*$B$8*$B$7,0)</f>
        <v>18</v>
      </c>
      <c r="D17" s="29" t="n">
        <f aca="false">ROUND($B$6*$B$8*$B$7^2,0)</f>
        <v>32</v>
      </c>
      <c r="E17" s="29" t="n">
        <f aca="false">B17+C17+D17</f>
        <v>60</v>
      </c>
      <c r="F17" s="29" t="n">
        <f aca="false">CEILING(E17/$B$13,1)</f>
        <v>1</v>
      </c>
      <c r="G17" s="45" t="n">
        <f aca="false">E17/$E$17</f>
        <v>1</v>
      </c>
      <c r="H17" s="31" t="s">
        <v>427</v>
      </c>
    </row>
    <row r="18" customFormat="false" ht="15" hidden="false" customHeight="true" outlineLevel="0" collapsed="false">
      <c r="A18" s="63" t="s">
        <v>428</v>
      </c>
      <c r="B18" s="33" t="n">
        <f aca="false">ROUND($B$6*$B$9,0)</f>
        <v>25</v>
      </c>
      <c r="C18" s="33" t="n">
        <f aca="false">ROUND($B$6*$B$9*$B$7,0)</f>
        <v>45</v>
      </c>
      <c r="D18" s="33" t="n">
        <f aca="false">ROUND($B$6*$B$9*$B$7^2,0)</f>
        <v>81</v>
      </c>
      <c r="E18" s="33" t="n">
        <f aca="false">B18+C18+D18</f>
        <v>151</v>
      </c>
      <c r="F18" s="33" t="n">
        <f aca="false">CEILING(E18/$B$13,1)</f>
        <v>1</v>
      </c>
      <c r="G18" s="47" t="n">
        <f aca="false">E18/$E$17</f>
        <v>2.51666666666667</v>
      </c>
      <c r="H18" s="35" t="s">
        <v>429</v>
      </c>
    </row>
    <row r="19" customFormat="false" ht="15" hidden="false" customHeight="true" outlineLevel="0" collapsed="false">
      <c r="A19" s="11" t="s">
        <v>430</v>
      </c>
      <c r="B19" s="29" t="n">
        <f aca="false">ROUND($B$6*$B$10,0)</f>
        <v>60</v>
      </c>
      <c r="C19" s="29" t="n">
        <f aca="false">ROUND($B$6*$B$10*$B$7,0)</f>
        <v>108</v>
      </c>
      <c r="D19" s="29" t="n">
        <f aca="false">ROUND($B$6*$B$10*$B$7^2,0)</f>
        <v>194</v>
      </c>
      <c r="E19" s="29" t="n">
        <f aca="false">B19+C19+D19</f>
        <v>362</v>
      </c>
      <c r="F19" s="29" t="n">
        <f aca="false">CEILING(E19/$B$13,1)</f>
        <v>3</v>
      </c>
      <c r="G19" s="45" t="n">
        <f aca="false">E19/$E$17</f>
        <v>6.03333333333333</v>
      </c>
      <c r="H19" s="31" t="s">
        <v>431</v>
      </c>
    </row>
    <row r="20" customFormat="false" ht="15" hidden="false" customHeight="true" outlineLevel="0" collapsed="false">
      <c r="A20" s="63" t="s">
        <v>432</v>
      </c>
      <c r="B20" s="33" t="n">
        <f aca="false">ROUND($B$6*$B$11,0)</f>
        <v>150</v>
      </c>
      <c r="C20" s="33" t="n">
        <f aca="false">ROUND($B$6*$B$11*$B$7,0)</f>
        <v>270</v>
      </c>
      <c r="D20" s="33" t="n">
        <f aca="false">ROUND($B$6*$B$11*$B$7^2,0)</f>
        <v>486</v>
      </c>
      <c r="E20" s="33" t="n">
        <f aca="false">B20+C20+D20</f>
        <v>906</v>
      </c>
      <c r="F20" s="33" t="n">
        <f aca="false">CEILING(E20/$B$13,1)</f>
        <v>6</v>
      </c>
      <c r="G20" s="47" t="n">
        <f aca="false">E20/$E$17</f>
        <v>15.1</v>
      </c>
      <c r="H20" s="35" t="s">
        <v>433</v>
      </c>
    </row>
    <row r="21" customFormat="false" ht="21.75" hidden="false" customHeight="true" outlineLevel="0" collapsed="false">
      <c r="A21" s="9" t="s">
        <v>434</v>
      </c>
      <c r="B21" s="9"/>
      <c r="C21" s="9"/>
      <c r="D21" s="9"/>
      <c r="E21" s="9"/>
      <c r="F21" s="9"/>
      <c r="G21" s="9"/>
      <c r="H21" s="9"/>
    </row>
    <row r="22" customFormat="false" ht="15" hidden="false" customHeight="true" outlineLevel="0" collapsed="false">
      <c r="A22" s="59" t="s">
        <v>435</v>
      </c>
      <c r="B22" s="59"/>
      <c r="C22" s="59"/>
      <c r="D22" s="59"/>
      <c r="E22" s="57" t="n">
        <f aca="false">SUM(E17:E20)</f>
        <v>1479</v>
      </c>
      <c r="F22" s="60"/>
      <c r="G22" s="60"/>
      <c r="H22" s="60"/>
    </row>
    <row r="23" customFormat="false" ht="15" hidden="false" customHeight="true" outlineLevel="0" collapsed="false">
      <c r="A23" s="59" t="s">
        <v>436</v>
      </c>
      <c r="B23" s="59"/>
      <c r="C23" s="59"/>
      <c r="D23" s="59"/>
      <c r="E23" s="60"/>
      <c r="F23" s="57" t="n">
        <f aca="false">CEILING(E22/$B$13,1)</f>
        <v>9</v>
      </c>
      <c r="G23" s="60"/>
      <c r="H23" s="60"/>
    </row>
    <row r="24" customFormat="false" ht="15" hidden="false" customHeight="true" outlineLevel="0" collapsed="false">
      <c r="A24" s="59" t="s">
        <v>437</v>
      </c>
      <c r="B24" s="59"/>
      <c r="C24" s="59"/>
      <c r="D24" s="59"/>
      <c r="E24" s="56" t="n">
        <f aca="false">$B$13</f>
        <v>167.125</v>
      </c>
      <c r="F24" s="60"/>
      <c r="G24" s="60"/>
      <c r="H24" s="60"/>
    </row>
    <row r="26" customFormat="false" ht="31.5" hidden="false" customHeight="true" outlineLevel="0" collapsed="false">
      <c r="A26" s="62" t="s">
        <v>438</v>
      </c>
      <c r="B26" s="62"/>
      <c r="C26" s="62"/>
      <c r="D26" s="62"/>
      <c r="E26" s="62"/>
      <c r="F26" s="62"/>
      <c r="G26" s="62"/>
      <c r="H26" s="62"/>
    </row>
  </sheetData>
  <mergeCells count="9">
    <mergeCell ref="A1:H1"/>
    <mergeCell ref="A2:H2"/>
    <mergeCell ref="A4:H4"/>
    <mergeCell ref="A15:H15"/>
    <mergeCell ref="A21:H21"/>
    <mergeCell ref="A22:D22"/>
    <mergeCell ref="A23:D23"/>
    <mergeCell ref="A24:D24"/>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2"/>
    <col collapsed="false" customWidth="true" hidden="false" outlineLevel="0" max="9" min="5" style="1" width="14"/>
    <col collapsed="false" customWidth="true" hidden="false" outlineLevel="0" max="10" min="10" style="1" width="36"/>
  </cols>
  <sheetData>
    <row r="1" customFormat="false" ht="19.5" hidden="false" customHeight="true" outlineLevel="0" collapsed="false">
      <c r="A1" s="2" t="s">
        <v>439</v>
      </c>
      <c r="B1" s="2"/>
      <c r="C1" s="2"/>
      <c r="D1" s="2"/>
      <c r="E1" s="2"/>
      <c r="F1" s="2"/>
      <c r="G1" s="2"/>
      <c r="H1" s="2"/>
      <c r="I1" s="2"/>
      <c r="J1" s="2"/>
    </row>
    <row r="2" customFormat="false" ht="15" hidden="false" customHeight="true" outlineLevel="0" collapsed="false">
      <c r="A2" s="3" t="s">
        <v>440</v>
      </c>
      <c r="B2" s="3"/>
      <c r="C2" s="3"/>
      <c r="D2" s="3"/>
      <c r="E2" s="3"/>
      <c r="F2" s="3"/>
      <c r="G2" s="3"/>
      <c r="H2" s="3"/>
      <c r="I2" s="3"/>
      <c r="J2" s="3"/>
    </row>
    <row r="4" customFormat="false" ht="21.75" hidden="false" customHeight="true" outlineLevel="0" collapsed="false">
      <c r="A4" s="9" t="s">
        <v>441</v>
      </c>
      <c r="B4" s="9"/>
      <c r="C4" s="9"/>
      <c r="D4" s="9"/>
      <c r="E4" s="9"/>
      <c r="F4" s="9"/>
      <c r="G4" s="9"/>
      <c r="H4" s="9"/>
      <c r="I4" s="9"/>
      <c r="J4" s="9"/>
    </row>
    <row r="5" customFormat="false" ht="15" hidden="false" customHeight="true" outlineLevel="0" collapsed="false">
      <c r="A5" s="8" t="s">
        <v>289</v>
      </c>
      <c r="B5" s="8" t="s">
        <v>75</v>
      </c>
    </row>
    <row r="6" customFormat="false" ht="15" hidden="false" customHeight="true" outlineLevel="0" collapsed="false">
      <c r="A6" s="25" t="s">
        <v>442</v>
      </c>
      <c r="B6" s="26" t="n">
        <f aca="false">Currencies!$E$50</f>
        <v>4797.5</v>
      </c>
    </row>
    <row r="7" customFormat="false" ht="15" hidden="false" customHeight="true" outlineLevel="0" collapsed="false">
      <c r="A7" s="25" t="s">
        <v>443</v>
      </c>
      <c r="B7" s="44" t="n">
        <f aca="false">Currencies!$I$52</f>
        <v>23.9875</v>
      </c>
    </row>
    <row r="8" customFormat="false" ht="15" hidden="false" customHeight="true" outlineLevel="0" collapsed="false">
      <c r="A8" s="25" t="s">
        <v>444</v>
      </c>
      <c r="B8" s="44" t="n">
        <f aca="false">'Run Pacing'!$I$45</f>
        <v>143.65</v>
      </c>
    </row>
    <row r="9" customFormat="false" ht="15" hidden="false" customHeight="true" outlineLevel="0" collapsed="false">
      <c r="A9" s="25" t="s">
        <v>242</v>
      </c>
      <c r="B9" s="64" t="n">
        <f aca="false">Assumptions!$C$88</f>
        <v>12</v>
      </c>
    </row>
    <row r="10" customFormat="false" ht="15" hidden="false" customHeight="true" outlineLevel="0" collapsed="false">
      <c r="A10" s="25" t="s">
        <v>445</v>
      </c>
      <c r="B10" s="27" t="n">
        <f aca="false">Assumptions!$C$89</f>
        <v>0.04</v>
      </c>
    </row>
    <row r="11" customFormat="false" ht="15" hidden="false" customHeight="true" outlineLevel="0" collapsed="false">
      <c r="A11" s="25" t="s">
        <v>446</v>
      </c>
      <c r="B11" s="45" t="n">
        <f aca="false">$B$6/$B$8</f>
        <v>33.3971458405848</v>
      </c>
    </row>
    <row r="12" customFormat="false" ht="15" hidden="false" customHeight="true" outlineLevel="0" collapsed="false">
      <c r="A12" s="25" t="s">
        <v>447</v>
      </c>
      <c r="B12" s="30" t="n">
        <f aca="false">$B$7/$B$8</f>
        <v>0.166985729202924</v>
      </c>
    </row>
    <row r="14" customFormat="false" ht="21.75" hidden="false" customHeight="true" outlineLevel="0" collapsed="false">
      <c r="A14" s="9" t="s">
        <v>448</v>
      </c>
      <c r="B14" s="9"/>
      <c r="C14" s="9"/>
      <c r="D14" s="9"/>
      <c r="E14" s="9"/>
      <c r="F14" s="9"/>
      <c r="G14" s="9"/>
      <c r="H14" s="9"/>
      <c r="I14" s="9"/>
      <c r="J14" s="9"/>
    </row>
    <row r="15" customFormat="false" ht="27.75" hidden="false" customHeight="true" outlineLevel="0" collapsed="false">
      <c r="A15" s="8" t="s">
        <v>449</v>
      </c>
      <c r="B15" s="8" t="s">
        <v>450</v>
      </c>
      <c r="C15" s="8" t="s">
        <v>215</v>
      </c>
      <c r="D15" s="8" t="s">
        <v>161</v>
      </c>
      <c r="E15" s="8" t="s">
        <v>451</v>
      </c>
      <c r="F15" s="8" t="s">
        <v>452</v>
      </c>
      <c r="G15" s="8" t="s">
        <v>453</v>
      </c>
      <c r="H15" s="8" t="s">
        <v>454</v>
      </c>
      <c r="I15" s="8" t="s">
        <v>455</v>
      </c>
      <c r="J15" s="8" t="s">
        <v>297</v>
      </c>
    </row>
    <row r="16" customFormat="false" ht="15" hidden="false" customHeight="true" outlineLevel="0" collapsed="false">
      <c r="A16" s="63" t="s">
        <v>456</v>
      </c>
      <c r="B16" s="54" t="s">
        <v>161</v>
      </c>
      <c r="C16" s="65" t="n">
        <f aca="false">Assumptions!$C$75</f>
        <v>0.99</v>
      </c>
      <c r="D16" s="55" t="n">
        <f aca="false">Assumptions!$C$76</f>
        <v>500</v>
      </c>
      <c r="E16" s="37" t="s">
        <v>327</v>
      </c>
      <c r="F16" s="66" t="n">
        <f aca="false">C16/D16</f>
        <v>0.00198</v>
      </c>
      <c r="G16" s="37" t="s">
        <v>327</v>
      </c>
      <c r="H16" s="33" t="n">
        <f aca="false">D16/$B$11</f>
        <v>14.9713392391871</v>
      </c>
      <c r="I16" s="48" t="str">
        <f aca="false">IF(H16/C16&gt;=30,"Strong",IF(H16/C16&gt;=10,"Fair","Weak"))</f>
        <v>Fair</v>
      </c>
      <c r="J16" s="35" t="s">
        <v>457</v>
      </c>
    </row>
    <row r="17" customFormat="false" ht="15" hidden="false" customHeight="true" outlineLevel="0" collapsed="false">
      <c r="A17" s="11" t="s">
        <v>458</v>
      </c>
      <c r="B17" s="53" t="s">
        <v>161</v>
      </c>
      <c r="C17" s="64" t="n">
        <f aca="false">Assumptions!$C$77</f>
        <v>4.99</v>
      </c>
      <c r="D17" s="26" t="n">
        <f aca="false">Assumptions!$C$78</f>
        <v>3000</v>
      </c>
      <c r="E17" s="67" t="s">
        <v>327</v>
      </c>
      <c r="F17" s="68" t="n">
        <f aca="false">C17/D17</f>
        <v>0.00166333333333333</v>
      </c>
      <c r="G17" s="67" t="s">
        <v>327</v>
      </c>
      <c r="H17" s="29" t="n">
        <f aca="false">D17/$B$11</f>
        <v>89.8280354351225</v>
      </c>
      <c r="I17" s="46" t="str">
        <f aca="false">IF(H17/C17&gt;=30,"Strong",IF(H17/C17&gt;=10,"Fair","Weak"))</f>
        <v>Fair</v>
      </c>
      <c r="J17" s="31" t="s">
        <v>459</v>
      </c>
    </row>
    <row r="18" customFormat="false" ht="15" hidden="false" customHeight="true" outlineLevel="0" collapsed="false">
      <c r="A18" s="63" t="s">
        <v>460</v>
      </c>
      <c r="B18" s="54" t="s">
        <v>161</v>
      </c>
      <c r="C18" s="65" t="n">
        <f aca="false">Assumptions!$C$79</f>
        <v>19.99</v>
      </c>
      <c r="D18" s="55" t="n">
        <f aca="false">Assumptions!$C$80</f>
        <v>15000</v>
      </c>
      <c r="E18" s="37" t="s">
        <v>327</v>
      </c>
      <c r="F18" s="66" t="n">
        <f aca="false">C18/D18</f>
        <v>0.00133266666666667</v>
      </c>
      <c r="G18" s="37" t="s">
        <v>327</v>
      </c>
      <c r="H18" s="33" t="n">
        <f aca="false">D18/$B$11</f>
        <v>449.140177175612</v>
      </c>
      <c r="I18" s="48" t="str">
        <f aca="false">IF(H18/C18&gt;=30,"Strong",IF(H18/C18&gt;=10,"Fair","Weak"))</f>
        <v>Fair</v>
      </c>
      <c r="J18" s="35" t="s">
        <v>461</v>
      </c>
    </row>
    <row r="19" customFormat="false" ht="15" hidden="false" customHeight="true" outlineLevel="0" collapsed="false">
      <c r="A19" s="11" t="s">
        <v>462</v>
      </c>
      <c r="B19" s="53" t="s">
        <v>230</v>
      </c>
      <c r="C19" s="64" t="n">
        <f aca="false">Assumptions!$C$81</f>
        <v>2.99</v>
      </c>
      <c r="D19" s="67" t="s">
        <v>327</v>
      </c>
      <c r="E19" s="26" t="n">
        <f aca="false">Assumptions!$C$82</f>
        <v>6</v>
      </c>
      <c r="F19" s="67" t="s">
        <v>327</v>
      </c>
      <c r="G19" s="68" t="n">
        <f aca="false">C19/E19</f>
        <v>0.498333333333333</v>
      </c>
      <c r="H19" s="29" t="n">
        <f aca="false">E19/$B$12</f>
        <v>35.931214174049</v>
      </c>
      <c r="I19" s="46" t="str">
        <f aca="false">IF(H19/C19&gt;=30,"Strong",IF(H19/C19&gt;=10,"Fair","Weak"))</f>
        <v>Fair</v>
      </c>
      <c r="J19" s="31" t="s">
        <v>463</v>
      </c>
    </row>
    <row r="20" customFormat="false" ht="15" hidden="false" customHeight="true" outlineLevel="0" collapsed="false">
      <c r="A20" s="63" t="s">
        <v>464</v>
      </c>
      <c r="B20" s="54" t="s">
        <v>230</v>
      </c>
      <c r="C20" s="65" t="n">
        <f aca="false">Assumptions!$C$83</f>
        <v>14.99</v>
      </c>
      <c r="D20" s="37" t="s">
        <v>327</v>
      </c>
      <c r="E20" s="55" t="n">
        <f aca="false">Assumptions!$C$84</f>
        <v>40</v>
      </c>
      <c r="F20" s="37" t="s">
        <v>327</v>
      </c>
      <c r="G20" s="66" t="n">
        <f aca="false">C20/E20</f>
        <v>0.37475</v>
      </c>
      <c r="H20" s="33" t="n">
        <f aca="false">E20/$B$12</f>
        <v>239.541427826993</v>
      </c>
      <c r="I20" s="48" t="str">
        <f aca="false">IF(H20/C20&gt;=30,"Strong",IF(H20/C20&gt;=10,"Fair","Weak"))</f>
        <v>Fair</v>
      </c>
      <c r="J20" s="35" t="s">
        <v>465</v>
      </c>
    </row>
    <row r="21" customFormat="false" ht="15" hidden="false" customHeight="true" outlineLevel="0" collapsed="false">
      <c r="A21" s="11" t="s">
        <v>466</v>
      </c>
      <c r="B21" s="53" t="s">
        <v>467</v>
      </c>
      <c r="C21" s="64" t="n">
        <f aca="false">Assumptions!$C$85</f>
        <v>9.99</v>
      </c>
      <c r="D21" s="26" t="n">
        <f aca="false">Assumptions!$C$86</f>
        <v>8000</v>
      </c>
      <c r="E21" s="26" t="n">
        <f aca="false">Assumptions!$C$87</f>
        <v>20</v>
      </c>
      <c r="F21" s="68" t="n">
        <f aca="false">C21/D21</f>
        <v>0.00124875</v>
      </c>
      <c r="G21" s="68" t="n">
        <f aca="false">C21/E21</f>
        <v>0.4995</v>
      </c>
      <c r="H21" s="29" t="n">
        <f aca="false">D21/$B$11+E21/$B$12</f>
        <v>359.31214174049</v>
      </c>
      <c r="I21" s="46" t="str">
        <f aca="false">IF(H21/C21&gt;=30,"Strong",IF(H21/C21&gt;=10,"Fair","Weak"))</f>
        <v>Strong</v>
      </c>
      <c r="J21" s="31" t="s">
        <v>468</v>
      </c>
    </row>
    <row r="22" customFormat="false" ht="21.75" hidden="false" customHeight="true" outlineLevel="0" collapsed="false">
      <c r="A22" s="9" t="s">
        <v>469</v>
      </c>
      <c r="B22" s="9"/>
      <c r="C22" s="9"/>
      <c r="D22" s="9"/>
      <c r="E22" s="9"/>
      <c r="F22" s="9"/>
      <c r="G22" s="9"/>
      <c r="H22" s="9"/>
      <c r="I22" s="9"/>
      <c r="J22" s="9"/>
    </row>
    <row r="23" customFormat="false" ht="15" hidden="false" customHeight="true" outlineLevel="0" collapsed="false">
      <c r="A23" s="59" t="s">
        <v>470</v>
      </c>
      <c r="B23" s="59"/>
      <c r="C23" s="69" t="n">
        <f aca="false">MIN(C16:C21)</f>
        <v>0.99</v>
      </c>
      <c r="D23" s="60"/>
      <c r="E23" s="60"/>
      <c r="F23" s="60"/>
      <c r="G23" s="60"/>
      <c r="H23" s="60"/>
      <c r="I23" s="60"/>
      <c r="J23" s="60"/>
    </row>
    <row r="24" customFormat="false" ht="15" hidden="false" customHeight="true" outlineLevel="0" collapsed="false">
      <c r="A24" s="59" t="s">
        <v>471</v>
      </c>
      <c r="B24" s="59"/>
      <c r="C24" s="69" t="n">
        <f aca="false">MAX(C16:C21)</f>
        <v>19.99</v>
      </c>
      <c r="D24" s="60"/>
      <c r="E24" s="60"/>
      <c r="F24" s="60"/>
      <c r="G24" s="60"/>
      <c r="H24" s="60"/>
      <c r="I24" s="60"/>
      <c r="J24" s="60"/>
    </row>
    <row r="25" customFormat="false" ht="15" hidden="false" customHeight="true" outlineLevel="0" collapsed="false">
      <c r="A25" s="59" t="s">
        <v>472</v>
      </c>
      <c r="B25" s="59"/>
      <c r="C25" s="69" t="n">
        <f aca="false">AVERAGE(C16:C21)</f>
        <v>8.99</v>
      </c>
      <c r="D25" s="60"/>
      <c r="E25" s="60"/>
      <c r="F25" s="60"/>
      <c r="G25" s="60"/>
      <c r="H25" s="60"/>
      <c r="I25" s="60"/>
      <c r="J25" s="60"/>
    </row>
    <row r="26" customFormat="false" ht="15" hidden="false" customHeight="true" outlineLevel="0" collapsed="false">
      <c r="A26" s="59" t="s">
        <v>473</v>
      </c>
      <c r="B26" s="59"/>
      <c r="C26" s="69" t="n">
        <f aca="false">MEDIAN(C16:C21)</f>
        <v>7.49</v>
      </c>
      <c r="D26" s="60"/>
      <c r="E26" s="60"/>
      <c r="F26" s="60"/>
      <c r="G26" s="60"/>
      <c r="H26" s="60"/>
      <c r="I26" s="60"/>
      <c r="J26" s="60"/>
    </row>
  </sheetData>
  <mergeCells count="9">
    <mergeCell ref="A1:J1"/>
    <mergeCell ref="A2:J2"/>
    <mergeCell ref="A4:J4"/>
    <mergeCell ref="A14:J14"/>
    <mergeCell ref="A22:J22"/>
    <mergeCell ref="A23:B23"/>
    <mergeCell ref="A24:B24"/>
    <mergeCell ref="A25:B25"/>
    <mergeCell ref="A26:B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13" min="2" style="1" width="11"/>
    <col collapsed="false" customWidth="true" hidden="false" outlineLevel="0" max="14" min="14" style="1" width="14"/>
  </cols>
  <sheetData>
    <row r="1" customFormat="false" ht="19.5" hidden="false" customHeight="true" outlineLevel="0" collapsed="false">
      <c r="A1" s="2" t="s">
        <v>474</v>
      </c>
      <c r="B1" s="2"/>
      <c r="C1" s="2"/>
      <c r="D1" s="2"/>
      <c r="E1" s="2"/>
      <c r="F1" s="2"/>
      <c r="G1" s="2"/>
      <c r="H1" s="2"/>
      <c r="I1" s="2"/>
      <c r="J1" s="2"/>
      <c r="K1" s="2"/>
      <c r="L1" s="2"/>
      <c r="M1" s="2"/>
      <c r="N1" s="2"/>
    </row>
    <row r="2" customFormat="false" ht="15" hidden="false" customHeight="true" outlineLevel="0" collapsed="false">
      <c r="A2" s="3" t="s">
        <v>475</v>
      </c>
      <c r="B2" s="3"/>
      <c r="C2" s="3"/>
      <c r="D2" s="3"/>
      <c r="E2" s="3"/>
      <c r="F2" s="3"/>
      <c r="G2" s="3"/>
      <c r="H2" s="3"/>
      <c r="I2" s="3"/>
      <c r="J2" s="3"/>
      <c r="K2" s="3"/>
      <c r="L2" s="3"/>
      <c r="M2" s="3"/>
      <c r="N2" s="3"/>
    </row>
    <row r="4" customFormat="false" ht="21.75" hidden="false" customHeight="true" outlineLevel="0" collapsed="false">
      <c r="A4" s="9" t="s">
        <v>288</v>
      </c>
      <c r="B4" s="9"/>
      <c r="C4" s="9"/>
      <c r="D4" s="9"/>
      <c r="E4" s="9"/>
      <c r="F4" s="9"/>
      <c r="G4" s="9"/>
      <c r="H4" s="9"/>
      <c r="I4" s="9"/>
      <c r="J4" s="9"/>
      <c r="K4" s="9"/>
      <c r="L4" s="9"/>
      <c r="M4" s="9"/>
      <c r="N4" s="9"/>
    </row>
    <row r="5" customFormat="false" ht="27.75" hidden="false" customHeight="true" outlineLevel="0" collapsed="false">
      <c r="A5" s="8" t="s">
        <v>289</v>
      </c>
      <c r="B5" s="8" t="s">
        <v>476</v>
      </c>
      <c r="C5" s="8" t="s">
        <v>477</v>
      </c>
      <c r="D5" s="8" t="s">
        <v>478</v>
      </c>
      <c r="E5" s="8"/>
      <c r="F5" s="8"/>
      <c r="G5" s="8"/>
      <c r="H5" s="8"/>
      <c r="I5" s="8"/>
      <c r="J5" s="8"/>
      <c r="K5" s="8"/>
      <c r="L5" s="8"/>
      <c r="M5" s="8"/>
      <c r="N5" s="8" t="s">
        <v>297</v>
      </c>
    </row>
    <row r="6" customFormat="false" ht="15" hidden="false" customHeight="true" outlineLevel="0" collapsed="false">
      <c r="A6" s="11" t="s">
        <v>479</v>
      </c>
      <c r="B6" s="26" t="n">
        <f aca="false">Assumptions!$C$92</f>
        <v>2000</v>
      </c>
      <c r="C6" s="26" t="n">
        <f aca="false">Assumptions!$C$96</f>
        <v>5000</v>
      </c>
      <c r="D6" s="26" t="n">
        <f aca="false">Assumptions!$C$100</f>
        <v>10000</v>
      </c>
    </row>
    <row r="7" customFormat="false" ht="15" hidden="false" customHeight="true" outlineLevel="0" collapsed="false">
      <c r="A7" s="11" t="s">
        <v>480</v>
      </c>
      <c r="B7" s="27" t="n">
        <f aca="false">Assumptions!$C$93</f>
        <v>0.05</v>
      </c>
      <c r="C7" s="27" t="n">
        <f aca="false">Assumptions!$C$97</f>
        <v>0.1</v>
      </c>
      <c r="D7" s="27" t="n">
        <f aca="false">Assumptions!$C$101</f>
        <v>0.18</v>
      </c>
    </row>
    <row r="8" customFormat="false" ht="15" hidden="false" customHeight="true" outlineLevel="0" collapsed="false">
      <c r="A8" s="11" t="s">
        <v>481</v>
      </c>
      <c r="B8" s="27" t="n">
        <f aca="false">Assumptions!$C$94</f>
        <v>0.02</v>
      </c>
      <c r="C8" s="27" t="n">
        <f aca="false">Assumptions!$C$98</f>
        <v>0.04</v>
      </c>
      <c r="D8" s="27" t="n">
        <f aca="false">Assumptions!$C$102</f>
        <v>0.06</v>
      </c>
    </row>
    <row r="9" customFormat="false" ht="15" hidden="false" customHeight="true" outlineLevel="0" collapsed="false">
      <c r="A9" s="11" t="s">
        <v>482</v>
      </c>
      <c r="B9" s="64" t="n">
        <f aca="false">Assumptions!$C$95</f>
        <v>8</v>
      </c>
      <c r="C9" s="64" t="n">
        <f aca="false">Assumptions!$C$99</f>
        <v>12</v>
      </c>
      <c r="D9" s="64" t="n">
        <f aca="false">Assumptions!$C$103</f>
        <v>18</v>
      </c>
    </row>
    <row r="10" customFormat="false" ht="15" hidden="false" customHeight="true" outlineLevel="0" collapsed="false">
      <c r="A10" s="11" t="s">
        <v>483</v>
      </c>
      <c r="B10" s="42" t="n">
        <f aca="false">Assumptions!$C$104</f>
        <v>0.3</v>
      </c>
      <c r="C10" s="42" t="n">
        <f aca="false">Assumptions!$C$104</f>
        <v>0.3</v>
      </c>
      <c r="D10" s="42" t="n">
        <f aca="false">Assumptions!$C$104</f>
        <v>0.3</v>
      </c>
    </row>
    <row r="12" customFormat="false" ht="27.75" hidden="false" customHeight="true" outlineLevel="0" collapsed="false">
      <c r="A12" s="8" t="s">
        <v>484</v>
      </c>
      <c r="B12" s="8" t="s">
        <v>485</v>
      </c>
      <c r="C12" s="8" t="s">
        <v>486</v>
      </c>
      <c r="D12" s="8" t="s">
        <v>487</v>
      </c>
      <c r="E12" s="8" t="s">
        <v>488</v>
      </c>
      <c r="F12" s="8" t="s">
        <v>489</v>
      </c>
      <c r="G12" s="8" t="s">
        <v>490</v>
      </c>
      <c r="H12" s="8" t="s">
        <v>491</v>
      </c>
      <c r="I12" s="8" t="s">
        <v>492</v>
      </c>
      <c r="J12" s="8" t="s">
        <v>493</v>
      </c>
      <c r="K12" s="8" t="s">
        <v>494</v>
      </c>
      <c r="L12" s="8" t="s">
        <v>495</v>
      </c>
      <c r="M12" s="8" t="s">
        <v>496</v>
      </c>
      <c r="N12" s="8" t="s">
        <v>497</v>
      </c>
    </row>
    <row r="13" customFormat="false" ht="21.75" hidden="false" customHeight="true" outlineLevel="0" collapsed="false">
      <c r="A13" s="70" t="s">
        <v>498</v>
      </c>
      <c r="B13" s="70"/>
      <c r="C13" s="70"/>
      <c r="D13" s="70"/>
      <c r="E13" s="70"/>
      <c r="F13" s="70"/>
      <c r="G13" s="70"/>
      <c r="H13" s="70"/>
      <c r="I13" s="70"/>
      <c r="J13" s="70"/>
      <c r="K13" s="70"/>
      <c r="L13" s="70"/>
      <c r="M13" s="70"/>
      <c r="N13" s="70"/>
    </row>
    <row r="14" customFormat="false" ht="15" hidden="false" customHeight="true" outlineLevel="0" collapsed="false">
      <c r="A14" s="71" t="s">
        <v>248</v>
      </c>
      <c r="B14" s="72" t="n">
        <f aca="false">ROUND($B$6*(1+$B$7)^(1-1),0)</f>
        <v>2000</v>
      </c>
      <c r="C14" s="72" t="n">
        <f aca="false">ROUND($B$6*(1+$B$7)^(2-1),0)</f>
        <v>2100</v>
      </c>
      <c r="D14" s="72" t="n">
        <f aca="false">ROUND($B$6*(1+$B$7)^(3-1),0)</f>
        <v>2205</v>
      </c>
      <c r="E14" s="72" t="n">
        <f aca="false">ROUND($B$6*(1+$B$7)^(4-1),0)</f>
        <v>2315</v>
      </c>
      <c r="F14" s="72" t="n">
        <f aca="false">ROUND($B$6*(1+$B$7)^(5-1),0)</f>
        <v>2431</v>
      </c>
      <c r="G14" s="72" t="n">
        <f aca="false">ROUND($B$6*(1+$B$7)^(6-1),0)</f>
        <v>2553</v>
      </c>
      <c r="H14" s="72" t="n">
        <f aca="false">ROUND($B$6*(1+$B$7)^(7-1),0)</f>
        <v>2680</v>
      </c>
      <c r="I14" s="72" t="n">
        <f aca="false">ROUND($B$6*(1+$B$7)^(8-1),0)</f>
        <v>2814</v>
      </c>
      <c r="J14" s="72" t="n">
        <f aca="false">ROUND($B$6*(1+$B$7)^(9-1),0)</f>
        <v>2955</v>
      </c>
      <c r="K14" s="72" t="n">
        <f aca="false">ROUND($B$6*(1+$B$7)^(10-1),0)</f>
        <v>3103</v>
      </c>
      <c r="L14" s="72" t="n">
        <f aca="false">ROUND($B$6*(1+$B$7)^(11-1),0)</f>
        <v>3258</v>
      </c>
      <c r="M14" s="72" t="n">
        <f aca="false">ROUND($B$6*(1+$B$7)^(12-1),0)</f>
        <v>3421</v>
      </c>
      <c r="N14" s="73" t="n">
        <f aca="false">SUM(B14:M14)</f>
        <v>31835</v>
      </c>
    </row>
    <row r="15" customFormat="false" ht="15" hidden="false" customHeight="true" outlineLevel="0" collapsed="false">
      <c r="A15" s="71" t="s">
        <v>499</v>
      </c>
      <c r="B15" s="72" t="n">
        <f aca="false">ROUND(B14*$B$8,0)</f>
        <v>40</v>
      </c>
      <c r="C15" s="72" t="n">
        <f aca="false">ROUND(C14*$B$8,0)</f>
        <v>42</v>
      </c>
      <c r="D15" s="72" t="n">
        <f aca="false">ROUND(D14*$B$8,0)</f>
        <v>44</v>
      </c>
      <c r="E15" s="72" t="n">
        <f aca="false">ROUND(E14*$B$8,0)</f>
        <v>46</v>
      </c>
      <c r="F15" s="72" t="n">
        <f aca="false">ROUND(F14*$B$8,0)</f>
        <v>49</v>
      </c>
      <c r="G15" s="72" t="n">
        <f aca="false">ROUND(G14*$B$8,0)</f>
        <v>51</v>
      </c>
      <c r="H15" s="72" t="n">
        <f aca="false">ROUND(H14*$B$8,0)</f>
        <v>54</v>
      </c>
      <c r="I15" s="72" t="n">
        <f aca="false">ROUND(I14*$B$8,0)</f>
        <v>56</v>
      </c>
      <c r="J15" s="72" t="n">
        <f aca="false">ROUND(J14*$B$8,0)</f>
        <v>59</v>
      </c>
      <c r="K15" s="72" t="n">
        <f aca="false">ROUND(K14*$B$8,0)</f>
        <v>62</v>
      </c>
      <c r="L15" s="72" t="n">
        <f aca="false">ROUND(L14*$B$8,0)</f>
        <v>65</v>
      </c>
      <c r="M15" s="72" t="n">
        <f aca="false">ROUND(M14*$B$8,0)</f>
        <v>68</v>
      </c>
      <c r="N15" s="73" t="n">
        <f aca="false">SUM(B15:M15)</f>
        <v>636</v>
      </c>
    </row>
    <row r="16" customFormat="false" ht="15" hidden="false" customHeight="true" outlineLevel="0" collapsed="false">
      <c r="A16" s="71" t="s">
        <v>500</v>
      </c>
      <c r="B16" s="74" t="n">
        <f aca="false">B15*$B$9</f>
        <v>320</v>
      </c>
      <c r="C16" s="74" t="n">
        <f aca="false">C15*$B$9</f>
        <v>336</v>
      </c>
      <c r="D16" s="74" t="n">
        <f aca="false">D15*$B$9</f>
        <v>352</v>
      </c>
      <c r="E16" s="74" t="n">
        <f aca="false">E15*$B$9</f>
        <v>368</v>
      </c>
      <c r="F16" s="74" t="n">
        <f aca="false">F15*$B$9</f>
        <v>392</v>
      </c>
      <c r="G16" s="74" t="n">
        <f aca="false">G15*$B$9</f>
        <v>408</v>
      </c>
      <c r="H16" s="74" t="n">
        <f aca="false">H15*$B$9</f>
        <v>432</v>
      </c>
      <c r="I16" s="74" t="n">
        <f aca="false">I15*$B$9</f>
        <v>448</v>
      </c>
      <c r="J16" s="74" t="n">
        <f aca="false">J15*$B$9</f>
        <v>472</v>
      </c>
      <c r="K16" s="74" t="n">
        <f aca="false">K15*$B$9</f>
        <v>496</v>
      </c>
      <c r="L16" s="74" t="n">
        <f aca="false">L15*$B$9</f>
        <v>520</v>
      </c>
      <c r="M16" s="74" t="n">
        <f aca="false">M15*$B$9</f>
        <v>544</v>
      </c>
      <c r="N16" s="75" t="n">
        <f aca="false">SUM(B16:M16)</f>
        <v>5088</v>
      </c>
    </row>
    <row r="17" customFormat="false" ht="15" hidden="false" customHeight="true" outlineLevel="0" collapsed="false">
      <c r="A17" s="71" t="s">
        <v>501</v>
      </c>
      <c r="B17" s="74" t="n">
        <f aca="false">B16*$B$10</f>
        <v>96</v>
      </c>
      <c r="C17" s="74" t="n">
        <f aca="false">C16*$B$10</f>
        <v>100.8</v>
      </c>
      <c r="D17" s="74" t="n">
        <f aca="false">D16*$B$10</f>
        <v>105.6</v>
      </c>
      <c r="E17" s="74" t="n">
        <f aca="false">E16*$B$10</f>
        <v>110.4</v>
      </c>
      <c r="F17" s="74" t="n">
        <f aca="false">F16*$B$10</f>
        <v>117.6</v>
      </c>
      <c r="G17" s="74" t="n">
        <f aca="false">G16*$B$10</f>
        <v>122.4</v>
      </c>
      <c r="H17" s="74" t="n">
        <f aca="false">H16*$B$10</f>
        <v>129.6</v>
      </c>
      <c r="I17" s="74" t="n">
        <f aca="false">I16*$B$10</f>
        <v>134.4</v>
      </c>
      <c r="J17" s="74" t="n">
        <f aca="false">J16*$B$10</f>
        <v>141.6</v>
      </c>
      <c r="K17" s="74" t="n">
        <f aca="false">K16*$B$10</f>
        <v>148.8</v>
      </c>
      <c r="L17" s="74" t="n">
        <f aca="false">L16*$B$10</f>
        <v>156</v>
      </c>
      <c r="M17" s="74" t="n">
        <f aca="false">M16*$B$10</f>
        <v>163.2</v>
      </c>
      <c r="N17" s="75" t="n">
        <f aca="false">SUM(B17:M17)</f>
        <v>1526.4</v>
      </c>
    </row>
    <row r="18" customFormat="false" ht="15" hidden="false" customHeight="true" outlineLevel="0" collapsed="false">
      <c r="A18" s="71" t="s">
        <v>502</v>
      </c>
      <c r="B18" s="74" t="n">
        <f aca="false">B16-B17</f>
        <v>224</v>
      </c>
      <c r="C18" s="74" t="n">
        <f aca="false">C16-C17</f>
        <v>235.2</v>
      </c>
      <c r="D18" s="74" t="n">
        <f aca="false">D16-D17</f>
        <v>246.4</v>
      </c>
      <c r="E18" s="74" t="n">
        <f aca="false">E16-E17</f>
        <v>257.6</v>
      </c>
      <c r="F18" s="74" t="n">
        <f aca="false">F16-F17</f>
        <v>274.4</v>
      </c>
      <c r="G18" s="74" t="n">
        <f aca="false">G16-G17</f>
        <v>285.6</v>
      </c>
      <c r="H18" s="74" t="n">
        <f aca="false">H16-H17</f>
        <v>302.4</v>
      </c>
      <c r="I18" s="74" t="n">
        <f aca="false">I16-I17</f>
        <v>313.6</v>
      </c>
      <c r="J18" s="74" t="n">
        <f aca="false">J16-J17</f>
        <v>330.4</v>
      </c>
      <c r="K18" s="74" t="n">
        <f aca="false">K16-K17</f>
        <v>347.2</v>
      </c>
      <c r="L18" s="74" t="n">
        <f aca="false">L16-L17</f>
        <v>364</v>
      </c>
      <c r="M18" s="74" t="n">
        <f aca="false">M16-M17</f>
        <v>380.8</v>
      </c>
      <c r="N18" s="75" t="n">
        <f aca="false">SUM(B18:M18)</f>
        <v>3561.6</v>
      </c>
    </row>
    <row r="19" customFormat="false" ht="15" hidden="false" customHeight="true" outlineLevel="0" collapsed="false">
      <c r="A19" s="71" t="s">
        <v>503</v>
      </c>
      <c r="B19" s="74" t="n">
        <f aca="false">B18</f>
        <v>224</v>
      </c>
      <c r="C19" s="74" t="n">
        <f aca="false">B19+C18</f>
        <v>459.2</v>
      </c>
      <c r="D19" s="74" t="n">
        <f aca="false">C19+D18</f>
        <v>705.6</v>
      </c>
      <c r="E19" s="74" t="n">
        <f aca="false">D19+E18</f>
        <v>963.2</v>
      </c>
      <c r="F19" s="74" t="n">
        <f aca="false">E19+F18</f>
        <v>1237.6</v>
      </c>
      <c r="G19" s="74" t="n">
        <f aca="false">F19+G18</f>
        <v>1523.2</v>
      </c>
      <c r="H19" s="74" t="n">
        <f aca="false">G19+H18</f>
        <v>1825.6</v>
      </c>
      <c r="I19" s="74" t="n">
        <f aca="false">H19+I18</f>
        <v>2139.2</v>
      </c>
      <c r="J19" s="74" t="n">
        <f aca="false">I19+J18</f>
        <v>2469.6</v>
      </c>
      <c r="K19" s="74" t="n">
        <f aca="false">J19+K18</f>
        <v>2816.8</v>
      </c>
      <c r="L19" s="74" t="n">
        <f aca="false">K19+L18</f>
        <v>3180.8</v>
      </c>
      <c r="M19" s="74" t="n">
        <f aca="false">L19+M18</f>
        <v>3561.6</v>
      </c>
      <c r="N19" s="75" t="n">
        <f aca="false">M19</f>
        <v>3561.6</v>
      </c>
    </row>
    <row r="21" customFormat="false" ht="21.75" hidden="false" customHeight="true" outlineLevel="0" collapsed="false">
      <c r="A21" s="76" t="s">
        <v>504</v>
      </c>
      <c r="B21" s="76"/>
      <c r="C21" s="76"/>
      <c r="D21" s="76"/>
      <c r="E21" s="76"/>
      <c r="F21" s="76"/>
      <c r="G21" s="76"/>
      <c r="H21" s="76"/>
      <c r="I21" s="76"/>
      <c r="J21" s="76"/>
      <c r="K21" s="76"/>
      <c r="L21" s="76"/>
      <c r="M21" s="76"/>
      <c r="N21" s="76"/>
    </row>
    <row r="22" customFormat="false" ht="15" hidden="false" customHeight="true" outlineLevel="0" collapsed="false">
      <c r="A22" s="77" t="s">
        <v>248</v>
      </c>
      <c r="B22" s="78" t="n">
        <f aca="false">ROUND($C$6*(1+$C$7)^(1-1),0)</f>
        <v>5000</v>
      </c>
      <c r="C22" s="78" t="n">
        <f aca="false">ROUND($C$6*(1+$C$7)^(2-1),0)</f>
        <v>5500</v>
      </c>
      <c r="D22" s="78" t="n">
        <f aca="false">ROUND($C$6*(1+$C$7)^(3-1),0)</f>
        <v>6050</v>
      </c>
      <c r="E22" s="78" t="n">
        <f aca="false">ROUND($C$6*(1+$C$7)^(4-1),0)</f>
        <v>6655</v>
      </c>
      <c r="F22" s="78" t="n">
        <f aca="false">ROUND($C$6*(1+$C$7)^(5-1),0)</f>
        <v>7321</v>
      </c>
      <c r="G22" s="78" t="n">
        <f aca="false">ROUND($C$6*(1+$C$7)^(6-1),0)</f>
        <v>8053</v>
      </c>
      <c r="H22" s="78" t="n">
        <f aca="false">ROUND($C$6*(1+$C$7)^(7-1),0)</f>
        <v>8858</v>
      </c>
      <c r="I22" s="78" t="n">
        <f aca="false">ROUND($C$6*(1+$C$7)^(8-1),0)</f>
        <v>9744</v>
      </c>
      <c r="J22" s="78" t="n">
        <f aca="false">ROUND($C$6*(1+$C$7)^(9-1),0)</f>
        <v>10718</v>
      </c>
      <c r="K22" s="78" t="n">
        <f aca="false">ROUND($C$6*(1+$C$7)^(10-1),0)</f>
        <v>11790</v>
      </c>
      <c r="L22" s="78" t="n">
        <f aca="false">ROUND($C$6*(1+$C$7)^(11-1),0)</f>
        <v>12969</v>
      </c>
      <c r="M22" s="78" t="n">
        <f aca="false">ROUND($C$6*(1+$C$7)^(12-1),0)</f>
        <v>14266</v>
      </c>
      <c r="N22" s="79" t="n">
        <f aca="false">SUM(B22:M22)</f>
        <v>106924</v>
      </c>
    </row>
    <row r="23" customFormat="false" ht="15" hidden="false" customHeight="true" outlineLevel="0" collapsed="false">
      <c r="A23" s="77" t="s">
        <v>499</v>
      </c>
      <c r="B23" s="78" t="n">
        <f aca="false">ROUND(B22*$C$8,0)</f>
        <v>200</v>
      </c>
      <c r="C23" s="78" t="n">
        <f aca="false">ROUND(C22*$C$8,0)</f>
        <v>220</v>
      </c>
      <c r="D23" s="78" t="n">
        <f aca="false">ROUND(D22*$C$8,0)</f>
        <v>242</v>
      </c>
      <c r="E23" s="78" t="n">
        <f aca="false">ROUND(E22*$C$8,0)</f>
        <v>266</v>
      </c>
      <c r="F23" s="78" t="n">
        <f aca="false">ROUND(F22*$C$8,0)</f>
        <v>293</v>
      </c>
      <c r="G23" s="78" t="n">
        <f aca="false">ROUND(G22*$C$8,0)</f>
        <v>322</v>
      </c>
      <c r="H23" s="78" t="n">
        <f aca="false">ROUND(H22*$C$8,0)</f>
        <v>354</v>
      </c>
      <c r="I23" s="78" t="n">
        <f aca="false">ROUND(I22*$C$8,0)</f>
        <v>390</v>
      </c>
      <c r="J23" s="78" t="n">
        <f aca="false">ROUND(J22*$C$8,0)</f>
        <v>429</v>
      </c>
      <c r="K23" s="78" t="n">
        <f aca="false">ROUND(K22*$C$8,0)</f>
        <v>472</v>
      </c>
      <c r="L23" s="78" t="n">
        <f aca="false">ROUND(L22*$C$8,0)</f>
        <v>519</v>
      </c>
      <c r="M23" s="78" t="n">
        <f aca="false">ROUND(M22*$C$8,0)</f>
        <v>571</v>
      </c>
      <c r="N23" s="79" t="n">
        <f aca="false">SUM(B23:M23)</f>
        <v>4278</v>
      </c>
    </row>
    <row r="24" customFormat="false" ht="15" hidden="false" customHeight="true" outlineLevel="0" collapsed="false">
      <c r="A24" s="77" t="s">
        <v>500</v>
      </c>
      <c r="B24" s="80" t="n">
        <f aca="false">B23*$C$9</f>
        <v>2400</v>
      </c>
      <c r="C24" s="80" t="n">
        <f aca="false">C23*$C$9</f>
        <v>2640</v>
      </c>
      <c r="D24" s="80" t="n">
        <f aca="false">D23*$C$9</f>
        <v>2904</v>
      </c>
      <c r="E24" s="80" t="n">
        <f aca="false">E23*$C$9</f>
        <v>3192</v>
      </c>
      <c r="F24" s="80" t="n">
        <f aca="false">F23*$C$9</f>
        <v>3516</v>
      </c>
      <c r="G24" s="80" t="n">
        <f aca="false">G23*$C$9</f>
        <v>3864</v>
      </c>
      <c r="H24" s="80" t="n">
        <f aca="false">H23*$C$9</f>
        <v>4248</v>
      </c>
      <c r="I24" s="80" t="n">
        <f aca="false">I23*$C$9</f>
        <v>4680</v>
      </c>
      <c r="J24" s="80" t="n">
        <f aca="false">J23*$C$9</f>
        <v>5148</v>
      </c>
      <c r="K24" s="80" t="n">
        <f aca="false">K23*$C$9</f>
        <v>5664</v>
      </c>
      <c r="L24" s="80" t="n">
        <f aca="false">L23*$C$9</f>
        <v>6228</v>
      </c>
      <c r="M24" s="80" t="n">
        <f aca="false">M23*$C$9</f>
        <v>6852</v>
      </c>
      <c r="N24" s="81" t="n">
        <f aca="false">SUM(B24:M24)</f>
        <v>51336</v>
      </c>
    </row>
    <row r="25" customFormat="false" ht="15" hidden="false" customHeight="true" outlineLevel="0" collapsed="false">
      <c r="A25" s="77" t="s">
        <v>501</v>
      </c>
      <c r="B25" s="80" t="n">
        <f aca="false">B24*$C$10</f>
        <v>720</v>
      </c>
      <c r="C25" s="80" t="n">
        <f aca="false">C24*$C$10</f>
        <v>792</v>
      </c>
      <c r="D25" s="80" t="n">
        <f aca="false">D24*$C$10</f>
        <v>871.2</v>
      </c>
      <c r="E25" s="80" t="n">
        <f aca="false">E24*$C$10</f>
        <v>957.6</v>
      </c>
      <c r="F25" s="80" t="n">
        <f aca="false">F24*$C$10</f>
        <v>1054.8</v>
      </c>
      <c r="G25" s="80" t="n">
        <f aca="false">G24*$C$10</f>
        <v>1159.2</v>
      </c>
      <c r="H25" s="80" t="n">
        <f aca="false">H24*$C$10</f>
        <v>1274.4</v>
      </c>
      <c r="I25" s="80" t="n">
        <f aca="false">I24*$C$10</f>
        <v>1404</v>
      </c>
      <c r="J25" s="80" t="n">
        <f aca="false">J24*$C$10</f>
        <v>1544.4</v>
      </c>
      <c r="K25" s="80" t="n">
        <f aca="false">K24*$C$10</f>
        <v>1699.2</v>
      </c>
      <c r="L25" s="80" t="n">
        <f aca="false">L24*$C$10</f>
        <v>1868.4</v>
      </c>
      <c r="M25" s="80" t="n">
        <f aca="false">M24*$C$10</f>
        <v>2055.6</v>
      </c>
      <c r="N25" s="81" t="n">
        <f aca="false">SUM(B25:M25)</f>
        <v>15400.8</v>
      </c>
    </row>
    <row r="26" customFormat="false" ht="15" hidden="false" customHeight="true" outlineLevel="0" collapsed="false">
      <c r="A26" s="77" t="s">
        <v>502</v>
      </c>
      <c r="B26" s="80" t="n">
        <f aca="false">B24-B25</f>
        <v>1680</v>
      </c>
      <c r="C26" s="80" t="n">
        <f aca="false">C24-C25</f>
        <v>1848</v>
      </c>
      <c r="D26" s="80" t="n">
        <f aca="false">D24-D25</f>
        <v>2032.8</v>
      </c>
      <c r="E26" s="80" t="n">
        <f aca="false">E24-E25</f>
        <v>2234.4</v>
      </c>
      <c r="F26" s="80" t="n">
        <f aca="false">F24-F25</f>
        <v>2461.2</v>
      </c>
      <c r="G26" s="80" t="n">
        <f aca="false">G24-G25</f>
        <v>2704.8</v>
      </c>
      <c r="H26" s="80" t="n">
        <f aca="false">H24-H25</f>
        <v>2973.6</v>
      </c>
      <c r="I26" s="80" t="n">
        <f aca="false">I24-I25</f>
        <v>3276</v>
      </c>
      <c r="J26" s="80" t="n">
        <f aca="false">J24-J25</f>
        <v>3603.6</v>
      </c>
      <c r="K26" s="80" t="n">
        <f aca="false">K24-K25</f>
        <v>3964.8</v>
      </c>
      <c r="L26" s="80" t="n">
        <f aca="false">L24-L25</f>
        <v>4359.6</v>
      </c>
      <c r="M26" s="80" t="n">
        <f aca="false">M24-M25</f>
        <v>4796.4</v>
      </c>
      <c r="N26" s="81" t="n">
        <f aca="false">SUM(B26:M26)</f>
        <v>35935.2</v>
      </c>
    </row>
    <row r="27" customFormat="false" ht="15" hidden="false" customHeight="true" outlineLevel="0" collapsed="false">
      <c r="A27" s="77" t="s">
        <v>503</v>
      </c>
      <c r="B27" s="80" t="n">
        <f aca="false">B26</f>
        <v>1680</v>
      </c>
      <c r="C27" s="80" t="n">
        <f aca="false">B27+C26</f>
        <v>3528</v>
      </c>
      <c r="D27" s="80" t="n">
        <f aca="false">C27+D26</f>
        <v>5560.8</v>
      </c>
      <c r="E27" s="80" t="n">
        <f aca="false">D27+E26</f>
        <v>7795.2</v>
      </c>
      <c r="F27" s="80" t="n">
        <f aca="false">E27+F26</f>
        <v>10256.4</v>
      </c>
      <c r="G27" s="80" t="n">
        <f aca="false">F27+G26</f>
        <v>12961.2</v>
      </c>
      <c r="H27" s="80" t="n">
        <f aca="false">G27+H26</f>
        <v>15934.8</v>
      </c>
      <c r="I27" s="80" t="n">
        <f aca="false">H27+I26</f>
        <v>19210.8</v>
      </c>
      <c r="J27" s="80" t="n">
        <f aca="false">I27+J26</f>
        <v>22814.4</v>
      </c>
      <c r="K27" s="80" t="n">
        <f aca="false">J27+K26</f>
        <v>26779.2</v>
      </c>
      <c r="L27" s="80" t="n">
        <f aca="false">K27+L26</f>
        <v>31138.8</v>
      </c>
      <c r="M27" s="80" t="n">
        <f aca="false">L27+M26</f>
        <v>35935.2</v>
      </c>
      <c r="N27" s="81" t="n">
        <f aca="false">M27</f>
        <v>35935.2</v>
      </c>
    </row>
    <row r="29" customFormat="false" ht="21.75" hidden="false" customHeight="true" outlineLevel="0" collapsed="false">
      <c r="A29" s="82" t="s">
        <v>505</v>
      </c>
      <c r="B29" s="82"/>
      <c r="C29" s="82"/>
      <c r="D29" s="82"/>
      <c r="E29" s="82"/>
      <c r="F29" s="82"/>
      <c r="G29" s="82"/>
      <c r="H29" s="82"/>
      <c r="I29" s="82"/>
      <c r="J29" s="82"/>
      <c r="K29" s="82"/>
      <c r="L29" s="82"/>
      <c r="M29" s="82"/>
      <c r="N29" s="82"/>
    </row>
    <row r="30" customFormat="false" ht="15" hidden="false" customHeight="true" outlineLevel="0" collapsed="false">
      <c r="A30" s="83" t="s">
        <v>248</v>
      </c>
      <c r="B30" s="84" t="n">
        <f aca="false">ROUND($D$6*(1+$D$7)^(1-1),0)</f>
        <v>10000</v>
      </c>
      <c r="C30" s="84" t="n">
        <f aca="false">ROUND($D$6*(1+$D$7)^(2-1),0)</f>
        <v>11800</v>
      </c>
      <c r="D30" s="84" t="n">
        <f aca="false">ROUND($D$6*(1+$D$7)^(3-1),0)</f>
        <v>13924</v>
      </c>
      <c r="E30" s="84" t="n">
        <f aca="false">ROUND($D$6*(1+$D$7)^(4-1),0)</f>
        <v>16430</v>
      </c>
      <c r="F30" s="84" t="n">
        <f aca="false">ROUND($D$6*(1+$D$7)^(5-1),0)</f>
        <v>19388</v>
      </c>
      <c r="G30" s="84" t="n">
        <f aca="false">ROUND($D$6*(1+$D$7)^(6-1),0)</f>
        <v>22878</v>
      </c>
      <c r="H30" s="84" t="n">
        <f aca="false">ROUND($D$6*(1+$D$7)^(7-1),0)</f>
        <v>26996</v>
      </c>
      <c r="I30" s="84" t="n">
        <f aca="false">ROUND($D$6*(1+$D$7)^(8-1),0)</f>
        <v>31855</v>
      </c>
      <c r="J30" s="84" t="n">
        <f aca="false">ROUND($D$6*(1+$D$7)^(9-1),0)</f>
        <v>37589</v>
      </c>
      <c r="K30" s="84" t="n">
        <f aca="false">ROUND($D$6*(1+$D$7)^(10-1),0)</f>
        <v>44355</v>
      </c>
      <c r="L30" s="84" t="n">
        <f aca="false">ROUND($D$6*(1+$D$7)^(11-1),0)</f>
        <v>52338</v>
      </c>
      <c r="M30" s="84" t="n">
        <f aca="false">ROUND($D$6*(1+$D$7)^(12-1),0)</f>
        <v>61759</v>
      </c>
      <c r="N30" s="85" t="n">
        <f aca="false">SUM(B30:M30)</f>
        <v>349312</v>
      </c>
    </row>
    <row r="31" customFormat="false" ht="15" hidden="false" customHeight="true" outlineLevel="0" collapsed="false">
      <c r="A31" s="83" t="s">
        <v>499</v>
      </c>
      <c r="B31" s="84" t="n">
        <f aca="false">ROUND(B30*$D$8,0)</f>
        <v>600</v>
      </c>
      <c r="C31" s="84" t="n">
        <f aca="false">ROUND(C30*$D$8,0)</f>
        <v>708</v>
      </c>
      <c r="D31" s="84" t="n">
        <f aca="false">ROUND(D30*$D$8,0)</f>
        <v>835</v>
      </c>
      <c r="E31" s="84" t="n">
        <f aca="false">ROUND(E30*$D$8,0)</f>
        <v>986</v>
      </c>
      <c r="F31" s="84" t="n">
        <f aca="false">ROUND(F30*$D$8,0)</f>
        <v>1163</v>
      </c>
      <c r="G31" s="84" t="n">
        <f aca="false">ROUND(G30*$D$8,0)</f>
        <v>1373</v>
      </c>
      <c r="H31" s="84" t="n">
        <f aca="false">ROUND(H30*$D$8,0)</f>
        <v>1620</v>
      </c>
      <c r="I31" s="84" t="n">
        <f aca="false">ROUND(I30*$D$8,0)</f>
        <v>1911</v>
      </c>
      <c r="J31" s="84" t="n">
        <f aca="false">ROUND(J30*$D$8,0)</f>
        <v>2255</v>
      </c>
      <c r="K31" s="84" t="n">
        <f aca="false">ROUND(K30*$D$8,0)</f>
        <v>2661</v>
      </c>
      <c r="L31" s="84" t="n">
        <f aca="false">ROUND(L30*$D$8,0)</f>
        <v>3140</v>
      </c>
      <c r="M31" s="84" t="n">
        <f aca="false">ROUND(M30*$D$8,0)</f>
        <v>3706</v>
      </c>
      <c r="N31" s="85" t="n">
        <f aca="false">SUM(B31:M31)</f>
        <v>20958</v>
      </c>
    </row>
    <row r="32" customFormat="false" ht="15" hidden="false" customHeight="true" outlineLevel="0" collapsed="false">
      <c r="A32" s="83" t="s">
        <v>500</v>
      </c>
      <c r="B32" s="86" t="n">
        <f aca="false">B31*$D$9</f>
        <v>10800</v>
      </c>
      <c r="C32" s="86" t="n">
        <f aca="false">C31*$D$9</f>
        <v>12744</v>
      </c>
      <c r="D32" s="86" t="n">
        <f aca="false">D31*$D$9</f>
        <v>15030</v>
      </c>
      <c r="E32" s="86" t="n">
        <f aca="false">E31*$D$9</f>
        <v>17748</v>
      </c>
      <c r="F32" s="86" t="n">
        <f aca="false">F31*$D$9</f>
        <v>20934</v>
      </c>
      <c r="G32" s="86" t="n">
        <f aca="false">G31*$D$9</f>
        <v>24714</v>
      </c>
      <c r="H32" s="86" t="n">
        <f aca="false">H31*$D$9</f>
        <v>29160</v>
      </c>
      <c r="I32" s="86" t="n">
        <f aca="false">I31*$D$9</f>
        <v>34398</v>
      </c>
      <c r="J32" s="86" t="n">
        <f aca="false">J31*$D$9</f>
        <v>40590</v>
      </c>
      <c r="K32" s="86" t="n">
        <f aca="false">K31*$D$9</f>
        <v>47898</v>
      </c>
      <c r="L32" s="86" t="n">
        <f aca="false">L31*$D$9</f>
        <v>56520</v>
      </c>
      <c r="M32" s="86" t="n">
        <f aca="false">M31*$D$9</f>
        <v>66708</v>
      </c>
      <c r="N32" s="87" t="n">
        <f aca="false">SUM(B32:M32)</f>
        <v>377244</v>
      </c>
    </row>
    <row r="33" customFormat="false" ht="15" hidden="false" customHeight="true" outlineLevel="0" collapsed="false">
      <c r="A33" s="83" t="s">
        <v>501</v>
      </c>
      <c r="B33" s="86" t="n">
        <f aca="false">B32*$D$10</f>
        <v>3240</v>
      </c>
      <c r="C33" s="86" t="n">
        <f aca="false">C32*$D$10</f>
        <v>3823.2</v>
      </c>
      <c r="D33" s="86" t="n">
        <f aca="false">D32*$D$10</f>
        <v>4509</v>
      </c>
      <c r="E33" s="86" t="n">
        <f aca="false">E32*$D$10</f>
        <v>5324.4</v>
      </c>
      <c r="F33" s="86" t="n">
        <f aca="false">F32*$D$10</f>
        <v>6280.2</v>
      </c>
      <c r="G33" s="86" t="n">
        <f aca="false">G32*$D$10</f>
        <v>7414.2</v>
      </c>
      <c r="H33" s="86" t="n">
        <f aca="false">H32*$D$10</f>
        <v>8748</v>
      </c>
      <c r="I33" s="86" t="n">
        <f aca="false">I32*$D$10</f>
        <v>10319.4</v>
      </c>
      <c r="J33" s="86" t="n">
        <f aca="false">J32*$D$10</f>
        <v>12177</v>
      </c>
      <c r="K33" s="86" t="n">
        <f aca="false">K32*$D$10</f>
        <v>14369.4</v>
      </c>
      <c r="L33" s="86" t="n">
        <f aca="false">L32*$D$10</f>
        <v>16956</v>
      </c>
      <c r="M33" s="86" t="n">
        <f aca="false">M32*$D$10</f>
        <v>20012.4</v>
      </c>
      <c r="N33" s="87" t="n">
        <f aca="false">SUM(B33:M33)</f>
        <v>113173.2</v>
      </c>
    </row>
    <row r="34" customFormat="false" ht="15" hidden="false" customHeight="true" outlineLevel="0" collapsed="false">
      <c r="A34" s="83" t="s">
        <v>502</v>
      </c>
      <c r="B34" s="86" t="n">
        <f aca="false">B32-B33</f>
        <v>7560</v>
      </c>
      <c r="C34" s="86" t="n">
        <f aca="false">C32-C33</f>
        <v>8920.8</v>
      </c>
      <c r="D34" s="86" t="n">
        <f aca="false">D32-D33</f>
        <v>10521</v>
      </c>
      <c r="E34" s="86" t="n">
        <f aca="false">E32-E33</f>
        <v>12423.6</v>
      </c>
      <c r="F34" s="86" t="n">
        <f aca="false">F32-F33</f>
        <v>14653.8</v>
      </c>
      <c r="G34" s="86" t="n">
        <f aca="false">G32-G33</f>
        <v>17299.8</v>
      </c>
      <c r="H34" s="86" t="n">
        <f aca="false">H32-H33</f>
        <v>20412</v>
      </c>
      <c r="I34" s="86" t="n">
        <f aca="false">I32-I33</f>
        <v>24078.6</v>
      </c>
      <c r="J34" s="86" t="n">
        <f aca="false">J32-J33</f>
        <v>28413</v>
      </c>
      <c r="K34" s="86" t="n">
        <f aca="false">K32-K33</f>
        <v>33528.6</v>
      </c>
      <c r="L34" s="86" t="n">
        <f aca="false">L32-L33</f>
        <v>39564</v>
      </c>
      <c r="M34" s="86" t="n">
        <f aca="false">M32-M33</f>
        <v>46695.6</v>
      </c>
      <c r="N34" s="87" t="n">
        <f aca="false">SUM(B34:M34)</f>
        <v>264070.8</v>
      </c>
    </row>
    <row r="35" customFormat="false" ht="15" hidden="false" customHeight="true" outlineLevel="0" collapsed="false">
      <c r="A35" s="83" t="s">
        <v>503</v>
      </c>
      <c r="B35" s="86" t="n">
        <f aca="false">B34</f>
        <v>7560</v>
      </c>
      <c r="C35" s="86" t="n">
        <f aca="false">B35+C34</f>
        <v>16480.8</v>
      </c>
      <c r="D35" s="86" t="n">
        <f aca="false">C35+D34</f>
        <v>27001.8</v>
      </c>
      <c r="E35" s="86" t="n">
        <f aca="false">D35+E34</f>
        <v>39425.4</v>
      </c>
      <c r="F35" s="86" t="n">
        <f aca="false">E35+F34</f>
        <v>54079.2</v>
      </c>
      <c r="G35" s="86" t="n">
        <f aca="false">F35+G34</f>
        <v>71379</v>
      </c>
      <c r="H35" s="86" t="n">
        <f aca="false">G35+H34</f>
        <v>91791</v>
      </c>
      <c r="I35" s="86" t="n">
        <f aca="false">H35+I34</f>
        <v>115869.6</v>
      </c>
      <c r="J35" s="86" t="n">
        <f aca="false">I35+J34</f>
        <v>144282.6</v>
      </c>
      <c r="K35" s="86" t="n">
        <f aca="false">J35+K34</f>
        <v>177811.2</v>
      </c>
      <c r="L35" s="86" t="n">
        <f aca="false">K35+L34</f>
        <v>217375.2</v>
      </c>
      <c r="M35" s="86" t="n">
        <f aca="false">L35+M34</f>
        <v>264070.8</v>
      </c>
      <c r="N35" s="87" t="n">
        <f aca="false">M35</f>
        <v>264070.8</v>
      </c>
    </row>
    <row r="37" customFormat="false" ht="21.75" hidden="false" customHeight="true" outlineLevel="0" collapsed="false">
      <c r="A37" s="9" t="s">
        <v>506</v>
      </c>
      <c r="B37" s="9"/>
      <c r="C37" s="9"/>
      <c r="D37" s="9"/>
      <c r="E37" s="9"/>
      <c r="F37" s="9"/>
      <c r="G37" s="9"/>
      <c r="H37" s="9"/>
      <c r="I37" s="9"/>
      <c r="J37" s="9"/>
      <c r="K37" s="9"/>
      <c r="L37" s="9"/>
      <c r="M37" s="9"/>
      <c r="N37" s="9"/>
    </row>
    <row r="38" customFormat="false" ht="27.75" hidden="false" customHeight="true" outlineLevel="0" collapsed="false">
      <c r="A38" s="8" t="s">
        <v>484</v>
      </c>
      <c r="B38" s="8" t="s">
        <v>476</v>
      </c>
      <c r="C38" s="8" t="s">
        <v>477</v>
      </c>
      <c r="D38" s="8" t="s">
        <v>478</v>
      </c>
      <c r="E38" s="8"/>
      <c r="F38" s="8"/>
      <c r="G38" s="8"/>
      <c r="H38" s="8"/>
      <c r="I38" s="8"/>
      <c r="J38" s="8"/>
      <c r="K38" s="8"/>
      <c r="L38" s="8"/>
      <c r="M38" s="8"/>
      <c r="N38" s="8" t="s">
        <v>507</v>
      </c>
    </row>
    <row r="39" customFormat="false" ht="15" hidden="false" customHeight="true" outlineLevel="0" collapsed="false">
      <c r="A39" s="25" t="s">
        <v>508</v>
      </c>
      <c r="B39" s="88" t="n">
        <f aca="false">N18</f>
        <v>3561.6</v>
      </c>
      <c r="C39" s="88" t="n">
        <f aca="false">N26</f>
        <v>35935.2</v>
      </c>
      <c r="D39" s="88" t="n">
        <f aca="false">N34</f>
        <v>264070.8</v>
      </c>
      <c r="N39" s="88" t="n">
        <f aca="false">D39-C39</f>
        <v>228135.6</v>
      </c>
    </row>
    <row r="40" customFormat="false" ht="15" hidden="false" customHeight="true" outlineLevel="0" collapsed="false">
      <c r="A40" s="25" t="s">
        <v>509</v>
      </c>
      <c r="B40" s="29" t="n">
        <f aca="false">M14</f>
        <v>3421</v>
      </c>
      <c r="C40" s="29" t="n">
        <f aca="false">M22</f>
        <v>14266</v>
      </c>
      <c r="D40" s="29" t="n">
        <f aca="false">M30</f>
        <v>61759</v>
      </c>
      <c r="N40" s="29" t="n">
        <f aca="false">D40-C40</f>
        <v>47493</v>
      </c>
    </row>
    <row r="41" customFormat="false" ht="15" hidden="false" customHeight="true" outlineLevel="0" collapsed="false">
      <c r="A41" s="25" t="s">
        <v>510</v>
      </c>
      <c r="B41" s="29" t="n">
        <f aca="false">M15</f>
        <v>68</v>
      </c>
      <c r="C41" s="29" t="n">
        <f aca="false">M23</f>
        <v>571</v>
      </c>
      <c r="D41" s="29" t="n">
        <f aca="false">M31</f>
        <v>3706</v>
      </c>
      <c r="N41" s="29" t="n">
        <f aca="false">D41-C41</f>
        <v>3135</v>
      </c>
    </row>
  </sheetData>
  <mergeCells count="7">
    <mergeCell ref="A1:N1"/>
    <mergeCell ref="A2:N2"/>
    <mergeCell ref="A4:N4"/>
    <mergeCell ref="A13:N13"/>
    <mergeCell ref="A21:N21"/>
    <mergeCell ref="A29:N29"/>
    <mergeCell ref="A37:N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13" min="2" style="1" width="11"/>
    <col collapsed="false" customWidth="true" hidden="false" outlineLevel="0" max="14" min="14" style="1" width="14"/>
  </cols>
  <sheetData>
    <row r="1" customFormat="false" ht="19.5" hidden="false" customHeight="true" outlineLevel="0" collapsed="false">
      <c r="A1" s="2" t="s">
        <v>511</v>
      </c>
      <c r="B1" s="2"/>
      <c r="C1" s="2"/>
      <c r="D1" s="2"/>
      <c r="E1" s="2"/>
      <c r="F1" s="2"/>
      <c r="G1" s="2"/>
      <c r="H1" s="2"/>
      <c r="I1" s="2"/>
      <c r="J1" s="2"/>
      <c r="K1" s="2"/>
      <c r="L1" s="2"/>
      <c r="M1" s="2"/>
      <c r="N1" s="2"/>
    </row>
    <row r="2" customFormat="false" ht="15" hidden="false" customHeight="true" outlineLevel="0" collapsed="false">
      <c r="A2" s="3" t="s">
        <v>512</v>
      </c>
      <c r="B2" s="3"/>
      <c r="C2" s="3"/>
      <c r="D2" s="3"/>
      <c r="E2" s="3"/>
      <c r="F2" s="3"/>
      <c r="G2" s="3"/>
      <c r="H2" s="3"/>
      <c r="I2" s="3"/>
      <c r="J2" s="3"/>
      <c r="K2" s="3"/>
      <c r="L2" s="3"/>
      <c r="M2" s="3"/>
      <c r="N2" s="3"/>
    </row>
    <row r="4" customFormat="false" ht="21.75" hidden="false" customHeight="true" outlineLevel="0" collapsed="false">
      <c r="A4" s="9" t="s">
        <v>441</v>
      </c>
      <c r="B4" s="9"/>
      <c r="C4" s="9"/>
      <c r="D4" s="9"/>
      <c r="E4" s="9"/>
      <c r="F4" s="9"/>
      <c r="G4" s="9"/>
      <c r="H4" s="9"/>
      <c r="I4" s="9"/>
      <c r="J4" s="9"/>
      <c r="K4" s="9"/>
      <c r="L4" s="9"/>
      <c r="M4" s="9"/>
      <c r="N4" s="9"/>
    </row>
    <row r="5" customFormat="false" ht="27.75" hidden="false" customHeight="true" outlineLevel="0" collapsed="false">
      <c r="A5" s="8" t="s">
        <v>289</v>
      </c>
      <c r="B5" s="8" t="s">
        <v>476</v>
      </c>
      <c r="C5" s="8" t="s">
        <v>477</v>
      </c>
      <c r="D5" s="8" t="s">
        <v>478</v>
      </c>
      <c r="E5" s="8"/>
      <c r="F5" s="8"/>
      <c r="G5" s="8"/>
      <c r="H5" s="8"/>
      <c r="I5" s="8"/>
      <c r="J5" s="8"/>
      <c r="K5" s="8"/>
      <c r="L5" s="8"/>
      <c r="M5" s="8"/>
      <c r="N5" s="8" t="s">
        <v>297</v>
      </c>
    </row>
    <row r="6" customFormat="false" ht="15" hidden="false" customHeight="true" outlineLevel="0" collapsed="false">
      <c r="A6" s="11" t="s">
        <v>513</v>
      </c>
      <c r="B6" s="64" t="n">
        <f aca="false">Assumptions!$C$107</f>
        <v>0.0012</v>
      </c>
      <c r="C6" s="64" t="n">
        <f aca="false">Assumptions!$C$107</f>
        <v>0.0012</v>
      </c>
      <c r="D6" s="64" t="n">
        <f aca="false">Assumptions!$C$107</f>
        <v>0.0012</v>
      </c>
    </row>
    <row r="7" customFormat="false" ht="15" hidden="false" customHeight="true" outlineLevel="0" collapsed="false">
      <c r="A7" s="11" t="s">
        <v>514</v>
      </c>
      <c r="B7" s="89" t="n">
        <f aca="false">Assumptions!$C$108</f>
        <v>18000</v>
      </c>
      <c r="C7" s="89" t="n">
        <f aca="false">Assumptions!$C$108</f>
        <v>18000</v>
      </c>
      <c r="D7" s="89" t="n">
        <f aca="false">Assumptions!$C$108</f>
        <v>18000</v>
      </c>
    </row>
    <row r="8" customFormat="false" ht="15" hidden="false" customHeight="true" outlineLevel="0" collapsed="false">
      <c r="A8" s="11" t="s">
        <v>515</v>
      </c>
      <c r="B8" s="89" t="n">
        <f aca="false">Assumptions!$C$109</f>
        <v>2000</v>
      </c>
      <c r="C8" s="89" t="n">
        <f aca="false">Assumptions!$C$110</f>
        <v>8000</v>
      </c>
      <c r="D8" s="89" t="n">
        <f aca="false">Assumptions!$C$111</f>
        <v>25000</v>
      </c>
    </row>
    <row r="10" customFormat="false" ht="27.75" hidden="false" customHeight="true" outlineLevel="0" collapsed="false">
      <c r="A10" s="8" t="s">
        <v>484</v>
      </c>
      <c r="B10" s="8" t="s">
        <v>485</v>
      </c>
      <c r="C10" s="8" t="s">
        <v>486</v>
      </c>
      <c r="D10" s="8" t="s">
        <v>487</v>
      </c>
      <c r="E10" s="8" t="s">
        <v>488</v>
      </c>
      <c r="F10" s="8" t="s">
        <v>489</v>
      </c>
      <c r="G10" s="8" t="s">
        <v>490</v>
      </c>
      <c r="H10" s="8" t="s">
        <v>491</v>
      </c>
      <c r="I10" s="8" t="s">
        <v>492</v>
      </c>
      <c r="J10" s="8" t="s">
        <v>493</v>
      </c>
      <c r="K10" s="8" t="s">
        <v>494</v>
      </c>
      <c r="L10" s="8" t="s">
        <v>495</v>
      </c>
      <c r="M10" s="8" t="s">
        <v>496</v>
      </c>
      <c r="N10" s="8" t="s">
        <v>497</v>
      </c>
    </row>
    <row r="11" customFormat="false" ht="21.75" hidden="false" customHeight="true" outlineLevel="0" collapsed="false">
      <c r="A11" s="70" t="s">
        <v>498</v>
      </c>
      <c r="B11" s="70"/>
      <c r="C11" s="70"/>
      <c r="D11" s="70"/>
      <c r="E11" s="70"/>
      <c r="F11" s="70"/>
      <c r="G11" s="70"/>
      <c r="H11" s="70"/>
      <c r="I11" s="70"/>
      <c r="J11" s="70"/>
      <c r="K11" s="70"/>
      <c r="L11" s="70"/>
      <c r="M11" s="70"/>
      <c r="N11" s="70"/>
    </row>
    <row r="12" customFormat="false" ht="15" hidden="false" customHeight="true" outlineLevel="0" collapsed="false">
      <c r="A12" s="71" t="s">
        <v>516</v>
      </c>
      <c r="B12" s="90" t="n">
        <f aca="false">'DAU &amp; Revenue Model'!B14*$B$6</f>
        <v>2.4</v>
      </c>
      <c r="C12" s="90" t="n">
        <f aca="false">'DAU &amp; Revenue Model'!C14*$B$6</f>
        <v>2.52</v>
      </c>
      <c r="D12" s="90" t="n">
        <f aca="false">'DAU &amp; Revenue Model'!D14*$B$6</f>
        <v>2.646</v>
      </c>
      <c r="E12" s="90" t="n">
        <f aca="false">'DAU &amp; Revenue Model'!E14*$B$6</f>
        <v>2.778</v>
      </c>
      <c r="F12" s="90" t="n">
        <f aca="false">'DAU &amp; Revenue Model'!F14*$B$6</f>
        <v>2.9172</v>
      </c>
      <c r="G12" s="90" t="n">
        <f aca="false">'DAU &amp; Revenue Model'!G14*$B$6</f>
        <v>3.0636</v>
      </c>
      <c r="H12" s="90" t="n">
        <f aca="false">'DAU &amp; Revenue Model'!H14*$B$6</f>
        <v>3.216</v>
      </c>
      <c r="I12" s="90" t="n">
        <f aca="false">'DAU &amp; Revenue Model'!I14*$B$6</f>
        <v>3.3768</v>
      </c>
      <c r="J12" s="90" t="n">
        <f aca="false">'DAU &amp; Revenue Model'!J14*$B$6</f>
        <v>3.546</v>
      </c>
      <c r="K12" s="90" t="n">
        <f aca="false">'DAU &amp; Revenue Model'!K14*$B$6</f>
        <v>3.7236</v>
      </c>
      <c r="L12" s="90" t="n">
        <f aca="false">'DAU &amp; Revenue Model'!L14*$B$6</f>
        <v>3.9096</v>
      </c>
      <c r="M12" s="90" t="n">
        <f aca="false">'DAU &amp; Revenue Model'!M14*$B$6</f>
        <v>4.1052</v>
      </c>
      <c r="N12" s="75" t="n">
        <f aca="false">SUM(B12:M12)</f>
        <v>38.202</v>
      </c>
    </row>
    <row r="13" customFormat="false" ht="15" hidden="false" customHeight="true" outlineLevel="0" collapsed="false">
      <c r="A13" s="71" t="s">
        <v>517</v>
      </c>
      <c r="B13" s="74" t="n">
        <f aca="false">$B$7</f>
        <v>18000</v>
      </c>
      <c r="C13" s="74" t="n">
        <f aca="false">$B$7</f>
        <v>18000</v>
      </c>
      <c r="D13" s="74" t="n">
        <f aca="false">$B$7</f>
        <v>18000</v>
      </c>
      <c r="E13" s="74" t="n">
        <f aca="false">$B$7</f>
        <v>18000</v>
      </c>
      <c r="F13" s="74" t="n">
        <f aca="false">$B$7</f>
        <v>18000</v>
      </c>
      <c r="G13" s="74" t="n">
        <f aca="false">$B$7</f>
        <v>18000</v>
      </c>
      <c r="H13" s="74" t="n">
        <f aca="false">$B$7</f>
        <v>18000</v>
      </c>
      <c r="I13" s="74" t="n">
        <f aca="false">$B$7</f>
        <v>18000</v>
      </c>
      <c r="J13" s="74" t="n">
        <f aca="false">$B$7</f>
        <v>18000</v>
      </c>
      <c r="K13" s="74" t="n">
        <f aca="false">$B$7</f>
        <v>18000</v>
      </c>
      <c r="L13" s="74" t="n">
        <f aca="false">$B$7</f>
        <v>18000</v>
      </c>
      <c r="M13" s="74" t="n">
        <f aca="false">$B$7</f>
        <v>18000</v>
      </c>
      <c r="N13" s="75" t="n">
        <f aca="false">SUM(B13:M13)</f>
        <v>216000</v>
      </c>
    </row>
    <row r="14" customFormat="false" ht="15" hidden="false" customHeight="true" outlineLevel="0" collapsed="false">
      <c r="A14" s="71" t="s">
        <v>518</v>
      </c>
      <c r="B14" s="74" t="n">
        <f aca="false">$B$8</f>
        <v>2000</v>
      </c>
      <c r="C14" s="74" t="n">
        <f aca="false">$B$8</f>
        <v>2000</v>
      </c>
      <c r="D14" s="74" t="n">
        <f aca="false">$B$8</f>
        <v>2000</v>
      </c>
      <c r="E14" s="74" t="n">
        <f aca="false">$B$8</f>
        <v>2000</v>
      </c>
      <c r="F14" s="74" t="n">
        <f aca="false">$B$8</f>
        <v>2000</v>
      </c>
      <c r="G14" s="74" t="n">
        <f aca="false">$B$8</f>
        <v>2000</v>
      </c>
      <c r="H14" s="74" t="n">
        <f aca="false">$B$8</f>
        <v>2000</v>
      </c>
      <c r="I14" s="74" t="n">
        <f aca="false">$B$8</f>
        <v>2000</v>
      </c>
      <c r="J14" s="74" t="n">
        <f aca="false">$B$8</f>
        <v>2000</v>
      </c>
      <c r="K14" s="74" t="n">
        <f aca="false">$B$8</f>
        <v>2000</v>
      </c>
      <c r="L14" s="74" t="n">
        <f aca="false">$B$8</f>
        <v>2000</v>
      </c>
      <c r="M14" s="74" t="n">
        <f aca="false">$B$8</f>
        <v>2000</v>
      </c>
      <c r="N14" s="75" t="n">
        <f aca="false">SUM(B14:M14)</f>
        <v>24000</v>
      </c>
    </row>
    <row r="15" customFormat="false" ht="15" hidden="false" customHeight="true" outlineLevel="0" collapsed="false">
      <c r="A15" s="71" t="s">
        <v>519</v>
      </c>
      <c r="B15" s="74" t="n">
        <f aca="false">B12+B13+B14</f>
        <v>20002.4</v>
      </c>
      <c r="C15" s="74" t="n">
        <f aca="false">C12+C13+C14</f>
        <v>20002.52</v>
      </c>
      <c r="D15" s="74" t="n">
        <f aca="false">D12+D13+D14</f>
        <v>20002.646</v>
      </c>
      <c r="E15" s="74" t="n">
        <f aca="false">E12+E13+E14</f>
        <v>20002.778</v>
      </c>
      <c r="F15" s="74" t="n">
        <f aca="false">F12+F13+F14</f>
        <v>20002.9172</v>
      </c>
      <c r="G15" s="74" t="n">
        <f aca="false">G12+G13+G14</f>
        <v>20003.0636</v>
      </c>
      <c r="H15" s="74" t="n">
        <f aca="false">H12+H13+H14</f>
        <v>20003.216</v>
      </c>
      <c r="I15" s="74" t="n">
        <f aca="false">I12+I13+I14</f>
        <v>20003.3768</v>
      </c>
      <c r="J15" s="74" t="n">
        <f aca="false">J12+J13+J14</f>
        <v>20003.546</v>
      </c>
      <c r="K15" s="74" t="n">
        <f aca="false">K12+K13+K14</f>
        <v>20003.7236</v>
      </c>
      <c r="L15" s="74" t="n">
        <f aca="false">L12+L13+L14</f>
        <v>20003.9096</v>
      </c>
      <c r="M15" s="74" t="n">
        <f aca="false">M12+M13+M14</f>
        <v>20004.1052</v>
      </c>
      <c r="N15" s="75" t="n">
        <f aca="false">SUM(B15:M15)</f>
        <v>240038.202</v>
      </c>
    </row>
    <row r="16" customFormat="false" ht="15" hidden="false" customHeight="true" outlineLevel="0" collapsed="false">
      <c r="A16" s="71" t="s">
        <v>502</v>
      </c>
      <c r="B16" s="90" t="n">
        <f aca="false">'DAU &amp; Revenue Model'!B18</f>
        <v>224</v>
      </c>
      <c r="C16" s="90" t="n">
        <f aca="false">'DAU &amp; Revenue Model'!C18</f>
        <v>235.2</v>
      </c>
      <c r="D16" s="90" t="n">
        <f aca="false">'DAU &amp; Revenue Model'!D18</f>
        <v>246.4</v>
      </c>
      <c r="E16" s="90" t="n">
        <f aca="false">'DAU &amp; Revenue Model'!E18</f>
        <v>257.6</v>
      </c>
      <c r="F16" s="90" t="n">
        <f aca="false">'DAU &amp; Revenue Model'!F18</f>
        <v>274.4</v>
      </c>
      <c r="G16" s="90" t="n">
        <f aca="false">'DAU &amp; Revenue Model'!G18</f>
        <v>285.6</v>
      </c>
      <c r="H16" s="90" t="n">
        <f aca="false">'DAU &amp; Revenue Model'!H18</f>
        <v>302.4</v>
      </c>
      <c r="I16" s="90" t="n">
        <f aca="false">'DAU &amp; Revenue Model'!I18</f>
        <v>313.6</v>
      </c>
      <c r="J16" s="90" t="n">
        <f aca="false">'DAU &amp; Revenue Model'!J18</f>
        <v>330.4</v>
      </c>
      <c r="K16" s="90" t="n">
        <f aca="false">'DAU &amp; Revenue Model'!K18</f>
        <v>347.2</v>
      </c>
      <c r="L16" s="90" t="n">
        <f aca="false">'DAU &amp; Revenue Model'!L18</f>
        <v>364</v>
      </c>
      <c r="M16" s="90" t="n">
        <f aca="false">'DAU &amp; Revenue Model'!M18</f>
        <v>380.8</v>
      </c>
      <c r="N16" s="75" t="n">
        <f aca="false">SUM(B16:M16)</f>
        <v>3561.6</v>
      </c>
    </row>
    <row r="17" customFormat="false" ht="15" hidden="false" customHeight="true" outlineLevel="0" collapsed="false">
      <c r="A17" s="71" t="s">
        <v>520</v>
      </c>
      <c r="B17" s="74" t="n">
        <f aca="false">B16-B15</f>
        <v>-19778.4</v>
      </c>
      <c r="C17" s="74" t="n">
        <f aca="false">C16-C15</f>
        <v>-19767.32</v>
      </c>
      <c r="D17" s="74" t="n">
        <f aca="false">D16-D15</f>
        <v>-19756.246</v>
      </c>
      <c r="E17" s="74" t="n">
        <f aca="false">E16-E15</f>
        <v>-19745.178</v>
      </c>
      <c r="F17" s="74" t="n">
        <f aca="false">F16-F15</f>
        <v>-19728.5172</v>
      </c>
      <c r="G17" s="74" t="n">
        <f aca="false">G16-G15</f>
        <v>-19717.4636</v>
      </c>
      <c r="H17" s="74" t="n">
        <f aca="false">H16-H15</f>
        <v>-19700.816</v>
      </c>
      <c r="I17" s="74" t="n">
        <f aca="false">I16-I15</f>
        <v>-19689.7768</v>
      </c>
      <c r="J17" s="74" t="n">
        <f aca="false">J16-J15</f>
        <v>-19673.146</v>
      </c>
      <c r="K17" s="74" t="n">
        <f aca="false">K16-K15</f>
        <v>-19656.5236</v>
      </c>
      <c r="L17" s="74" t="n">
        <f aca="false">L16-L15</f>
        <v>-19639.9096</v>
      </c>
      <c r="M17" s="74" t="n">
        <f aca="false">M16-M15</f>
        <v>-19623.3052</v>
      </c>
      <c r="N17" s="75" t="n">
        <f aca="false">SUM(B17:M17)</f>
        <v>-236476.602</v>
      </c>
    </row>
    <row r="18" customFormat="false" ht="15" hidden="false" customHeight="true" outlineLevel="0" collapsed="false">
      <c r="A18" s="71" t="s">
        <v>521</v>
      </c>
      <c r="B18" s="74" t="n">
        <f aca="false">B17</f>
        <v>-19778.4</v>
      </c>
      <c r="C18" s="74" t="n">
        <f aca="false">B18+C17</f>
        <v>-39545.72</v>
      </c>
      <c r="D18" s="74" t="n">
        <f aca="false">C18+D17</f>
        <v>-59301.966</v>
      </c>
      <c r="E18" s="74" t="n">
        <f aca="false">D18+E17</f>
        <v>-79047.144</v>
      </c>
      <c r="F18" s="74" t="n">
        <f aca="false">E18+F17</f>
        <v>-98775.6612</v>
      </c>
      <c r="G18" s="74" t="n">
        <f aca="false">F18+G17</f>
        <v>-118493.1248</v>
      </c>
      <c r="H18" s="74" t="n">
        <f aca="false">G18+H17</f>
        <v>-138193.9408</v>
      </c>
      <c r="I18" s="74" t="n">
        <f aca="false">H18+I17</f>
        <v>-157883.7176</v>
      </c>
      <c r="J18" s="74" t="n">
        <f aca="false">I18+J17</f>
        <v>-177556.8636</v>
      </c>
      <c r="K18" s="74" t="n">
        <f aca="false">J18+K17</f>
        <v>-197213.3872</v>
      </c>
      <c r="L18" s="74" t="n">
        <f aca="false">K18+L17</f>
        <v>-216853.2968</v>
      </c>
      <c r="M18" s="74" t="n">
        <f aca="false">L18+M17</f>
        <v>-236476.602</v>
      </c>
      <c r="N18" s="75" t="n">
        <f aca="false">M18</f>
        <v>-236476.602</v>
      </c>
    </row>
    <row r="20" customFormat="false" ht="21.75" hidden="false" customHeight="true" outlineLevel="0" collapsed="false">
      <c r="A20" s="76" t="s">
        <v>504</v>
      </c>
      <c r="B20" s="76"/>
      <c r="C20" s="76"/>
      <c r="D20" s="76"/>
      <c r="E20" s="76"/>
      <c r="F20" s="76"/>
      <c r="G20" s="76"/>
      <c r="H20" s="76"/>
      <c r="I20" s="76"/>
      <c r="J20" s="76"/>
      <c r="K20" s="76"/>
      <c r="L20" s="76"/>
      <c r="M20" s="76"/>
      <c r="N20" s="76"/>
    </row>
    <row r="21" customFormat="false" ht="15" hidden="false" customHeight="true" outlineLevel="0" collapsed="false">
      <c r="A21" s="77" t="s">
        <v>516</v>
      </c>
      <c r="B21" s="91" t="n">
        <f aca="false">'DAU &amp; Revenue Model'!B22*$C$6</f>
        <v>6</v>
      </c>
      <c r="C21" s="91" t="n">
        <f aca="false">'DAU &amp; Revenue Model'!C22*$C$6</f>
        <v>6.6</v>
      </c>
      <c r="D21" s="91" t="n">
        <f aca="false">'DAU &amp; Revenue Model'!D22*$C$6</f>
        <v>7.26</v>
      </c>
      <c r="E21" s="91" t="n">
        <f aca="false">'DAU &amp; Revenue Model'!E22*$C$6</f>
        <v>7.986</v>
      </c>
      <c r="F21" s="91" t="n">
        <f aca="false">'DAU &amp; Revenue Model'!F22*$C$6</f>
        <v>8.7852</v>
      </c>
      <c r="G21" s="91" t="n">
        <f aca="false">'DAU &amp; Revenue Model'!G22*$C$6</f>
        <v>9.6636</v>
      </c>
      <c r="H21" s="91" t="n">
        <f aca="false">'DAU &amp; Revenue Model'!H22*$C$6</f>
        <v>10.6296</v>
      </c>
      <c r="I21" s="91" t="n">
        <f aca="false">'DAU &amp; Revenue Model'!I22*$C$6</f>
        <v>11.6928</v>
      </c>
      <c r="J21" s="91" t="n">
        <f aca="false">'DAU &amp; Revenue Model'!J22*$C$6</f>
        <v>12.8616</v>
      </c>
      <c r="K21" s="91" t="n">
        <f aca="false">'DAU &amp; Revenue Model'!K22*$C$6</f>
        <v>14.148</v>
      </c>
      <c r="L21" s="91" t="n">
        <f aca="false">'DAU &amp; Revenue Model'!L22*$C$6</f>
        <v>15.5628</v>
      </c>
      <c r="M21" s="91" t="n">
        <f aca="false">'DAU &amp; Revenue Model'!M22*$C$6</f>
        <v>17.1192</v>
      </c>
      <c r="N21" s="81" t="n">
        <f aca="false">SUM(B21:M21)</f>
        <v>128.3088</v>
      </c>
    </row>
    <row r="22" customFormat="false" ht="15" hidden="false" customHeight="true" outlineLevel="0" collapsed="false">
      <c r="A22" s="77" t="s">
        <v>517</v>
      </c>
      <c r="B22" s="80" t="n">
        <f aca="false">$C$7</f>
        <v>18000</v>
      </c>
      <c r="C22" s="80" t="n">
        <f aca="false">$C$7</f>
        <v>18000</v>
      </c>
      <c r="D22" s="80" t="n">
        <f aca="false">$C$7</f>
        <v>18000</v>
      </c>
      <c r="E22" s="80" t="n">
        <f aca="false">$C$7</f>
        <v>18000</v>
      </c>
      <c r="F22" s="80" t="n">
        <f aca="false">$C$7</f>
        <v>18000</v>
      </c>
      <c r="G22" s="80" t="n">
        <f aca="false">$C$7</f>
        <v>18000</v>
      </c>
      <c r="H22" s="80" t="n">
        <f aca="false">$C$7</f>
        <v>18000</v>
      </c>
      <c r="I22" s="80" t="n">
        <f aca="false">$C$7</f>
        <v>18000</v>
      </c>
      <c r="J22" s="80" t="n">
        <f aca="false">$C$7</f>
        <v>18000</v>
      </c>
      <c r="K22" s="80" t="n">
        <f aca="false">$C$7</f>
        <v>18000</v>
      </c>
      <c r="L22" s="80" t="n">
        <f aca="false">$C$7</f>
        <v>18000</v>
      </c>
      <c r="M22" s="80" t="n">
        <f aca="false">$C$7</f>
        <v>18000</v>
      </c>
      <c r="N22" s="81" t="n">
        <f aca="false">SUM(B22:M22)</f>
        <v>216000</v>
      </c>
    </row>
    <row r="23" customFormat="false" ht="15" hidden="false" customHeight="true" outlineLevel="0" collapsed="false">
      <c r="A23" s="77" t="s">
        <v>518</v>
      </c>
      <c r="B23" s="80" t="n">
        <f aca="false">$C$8</f>
        <v>8000</v>
      </c>
      <c r="C23" s="80" t="n">
        <f aca="false">$C$8</f>
        <v>8000</v>
      </c>
      <c r="D23" s="80" t="n">
        <f aca="false">$C$8</f>
        <v>8000</v>
      </c>
      <c r="E23" s="80" t="n">
        <f aca="false">$C$8</f>
        <v>8000</v>
      </c>
      <c r="F23" s="80" t="n">
        <f aca="false">$C$8</f>
        <v>8000</v>
      </c>
      <c r="G23" s="80" t="n">
        <f aca="false">$C$8</f>
        <v>8000</v>
      </c>
      <c r="H23" s="80" t="n">
        <f aca="false">$C$8</f>
        <v>8000</v>
      </c>
      <c r="I23" s="80" t="n">
        <f aca="false">$C$8</f>
        <v>8000</v>
      </c>
      <c r="J23" s="80" t="n">
        <f aca="false">$C$8</f>
        <v>8000</v>
      </c>
      <c r="K23" s="80" t="n">
        <f aca="false">$C$8</f>
        <v>8000</v>
      </c>
      <c r="L23" s="80" t="n">
        <f aca="false">$C$8</f>
        <v>8000</v>
      </c>
      <c r="M23" s="80" t="n">
        <f aca="false">$C$8</f>
        <v>8000</v>
      </c>
      <c r="N23" s="81" t="n">
        <f aca="false">SUM(B23:M23)</f>
        <v>96000</v>
      </c>
    </row>
    <row r="24" customFormat="false" ht="15" hidden="false" customHeight="true" outlineLevel="0" collapsed="false">
      <c r="A24" s="77" t="s">
        <v>519</v>
      </c>
      <c r="B24" s="80" t="n">
        <f aca="false">B21+B22+B23</f>
        <v>26006</v>
      </c>
      <c r="C24" s="80" t="n">
        <f aca="false">C21+C22+C23</f>
        <v>26006.6</v>
      </c>
      <c r="D24" s="80" t="n">
        <f aca="false">D21+D22+D23</f>
        <v>26007.26</v>
      </c>
      <c r="E24" s="80" t="n">
        <f aca="false">E21+E22+E23</f>
        <v>26007.986</v>
      </c>
      <c r="F24" s="80" t="n">
        <f aca="false">F21+F22+F23</f>
        <v>26008.7852</v>
      </c>
      <c r="G24" s="80" t="n">
        <f aca="false">G21+G22+G23</f>
        <v>26009.6636</v>
      </c>
      <c r="H24" s="80" t="n">
        <f aca="false">H21+H22+H23</f>
        <v>26010.6296</v>
      </c>
      <c r="I24" s="80" t="n">
        <f aca="false">I21+I22+I23</f>
        <v>26011.6928</v>
      </c>
      <c r="J24" s="80" t="n">
        <f aca="false">J21+J22+J23</f>
        <v>26012.8616</v>
      </c>
      <c r="K24" s="80" t="n">
        <f aca="false">K21+K22+K23</f>
        <v>26014.148</v>
      </c>
      <c r="L24" s="80" t="n">
        <f aca="false">L21+L22+L23</f>
        <v>26015.5628</v>
      </c>
      <c r="M24" s="80" t="n">
        <f aca="false">M21+M22+M23</f>
        <v>26017.1192</v>
      </c>
      <c r="N24" s="81" t="n">
        <f aca="false">SUM(B24:M24)</f>
        <v>312128.3088</v>
      </c>
    </row>
    <row r="25" customFormat="false" ht="15" hidden="false" customHeight="true" outlineLevel="0" collapsed="false">
      <c r="A25" s="77" t="s">
        <v>502</v>
      </c>
      <c r="B25" s="91" t="n">
        <f aca="false">'DAU &amp; Revenue Model'!B26</f>
        <v>1680</v>
      </c>
      <c r="C25" s="91" t="n">
        <f aca="false">'DAU &amp; Revenue Model'!C26</f>
        <v>1848</v>
      </c>
      <c r="D25" s="91" t="n">
        <f aca="false">'DAU &amp; Revenue Model'!D26</f>
        <v>2032.8</v>
      </c>
      <c r="E25" s="91" t="n">
        <f aca="false">'DAU &amp; Revenue Model'!E26</f>
        <v>2234.4</v>
      </c>
      <c r="F25" s="91" t="n">
        <f aca="false">'DAU &amp; Revenue Model'!F26</f>
        <v>2461.2</v>
      </c>
      <c r="G25" s="91" t="n">
        <f aca="false">'DAU &amp; Revenue Model'!G26</f>
        <v>2704.8</v>
      </c>
      <c r="H25" s="91" t="n">
        <f aca="false">'DAU &amp; Revenue Model'!H26</f>
        <v>2973.6</v>
      </c>
      <c r="I25" s="91" t="n">
        <f aca="false">'DAU &amp; Revenue Model'!I26</f>
        <v>3276</v>
      </c>
      <c r="J25" s="91" t="n">
        <f aca="false">'DAU &amp; Revenue Model'!J26</f>
        <v>3603.6</v>
      </c>
      <c r="K25" s="91" t="n">
        <f aca="false">'DAU &amp; Revenue Model'!K26</f>
        <v>3964.8</v>
      </c>
      <c r="L25" s="91" t="n">
        <f aca="false">'DAU &amp; Revenue Model'!L26</f>
        <v>4359.6</v>
      </c>
      <c r="M25" s="91" t="n">
        <f aca="false">'DAU &amp; Revenue Model'!M26</f>
        <v>4796.4</v>
      </c>
      <c r="N25" s="81" t="n">
        <f aca="false">SUM(B25:M25)</f>
        <v>35935.2</v>
      </c>
    </row>
    <row r="26" customFormat="false" ht="15" hidden="false" customHeight="true" outlineLevel="0" collapsed="false">
      <c r="A26" s="77" t="s">
        <v>520</v>
      </c>
      <c r="B26" s="80" t="n">
        <f aca="false">B25-B24</f>
        <v>-24326</v>
      </c>
      <c r="C26" s="80" t="n">
        <f aca="false">C25-C24</f>
        <v>-24158.6</v>
      </c>
      <c r="D26" s="80" t="n">
        <f aca="false">D25-D24</f>
        <v>-23974.46</v>
      </c>
      <c r="E26" s="80" t="n">
        <f aca="false">E25-E24</f>
        <v>-23773.586</v>
      </c>
      <c r="F26" s="80" t="n">
        <f aca="false">F25-F24</f>
        <v>-23547.5852</v>
      </c>
      <c r="G26" s="80" t="n">
        <f aca="false">G25-G24</f>
        <v>-23304.8636</v>
      </c>
      <c r="H26" s="80" t="n">
        <f aca="false">H25-H24</f>
        <v>-23037.0296</v>
      </c>
      <c r="I26" s="80" t="n">
        <f aca="false">I25-I24</f>
        <v>-22735.6928</v>
      </c>
      <c r="J26" s="80" t="n">
        <f aca="false">J25-J24</f>
        <v>-22409.2616</v>
      </c>
      <c r="K26" s="80" t="n">
        <f aca="false">K25-K24</f>
        <v>-22049.348</v>
      </c>
      <c r="L26" s="80" t="n">
        <f aca="false">L25-L24</f>
        <v>-21655.9628</v>
      </c>
      <c r="M26" s="80" t="n">
        <f aca="false">M25-M24</f>
        <v>-21220.7192</v>
      </c>
      <c r="N26" s="81" t="n">
        <f aca="false">SUM(B26:M26)</f>
        <v>-276193.1088</v>
      </c>
    </row>
    <row r="27" customFormat="false" ht="15" hidden="false" customHeight="true" outlineLevel="0" collapsed="false">
      <c r="A27" s="77" t="s">
        <v>521</v>
      </c>
      <c r="B27" s="80" t="n">
        <f aca="false">B26</f>
        <v>-24326</v>
      </c>
      <c r="C27" s="80" t="n">
        <f aca="false">B27+C26</f>
        <v>-48484.6</v>
      </c>
      <c r="D27" s="80" t="n">
        <f aca="false">C27+D26</f>
        <v>-72459.06</v>
      </c>
      <c r="E27" s="80" t="n">
        <f aca="false">D27+E26</f>
        <v>-96232.646</v>
      </c>
      <c r="F27" s="80" t="n">
        <f aca="false">E27+F26</f>
        <v>-119780.2312</v>
      </c>
      <c r="G27" s="80" t="n">
        <f aca="false">F27+G26</f>
        <v>-143085.0948</v>
      </c>
      <c r="H27" s="80" t="n">
        <f aca="false">G27+H26</f>
        <v>-166122.1244</v>
      </c>
      <c r="I27" s="80" t="n">
        <f aca="false">H27+I26</f>
        <v>-188857.8172</v>
      </c>
      <c r="J27" s="80" t="n">
        <f aca="false">I27+J26</f>
        <v>-211267.0788</v>
      </c>
      <c r="K27" s="80" t="n">
        <f aca="false">J27+K26</f>
        <v>-233316.4268</v>
      </c>
      <c r="L27" s="80" t="n">
        <f aca="false">K27+L26</f>
        <v>-254972.3896</v>
      </c>
      <c r="M27" s="80" t="n">
        <f aca="false">L27+M26</f>
        <v>-276193.1088</v>
      </c>
      <c r="N27" s="81" t="n">
        <f aca="false">M27</f>
        <v>-276193.1088</v>
      </c>
    </row>
    <row r="29" customFormat="false" ht="21.75" hidden="false" customHeight="true" outlineLevel="0" collapsed="false">
      <c r="A29" s="82" t="s">
        <v>505</v>
      </c>
      <c r="B29" s="82"/>
      <c r="C29" s="82"/>
      <c r="D29" s="82"/>
      <c r="E29" s="82"/>
      <c r="F29" s="82"/>
      <c r="G29" s="82"/>
      <c r="H29" s="82"/>
      <c r="I29" s="82"/>
      <c r="J29" s="82"/>
      <c r="K29" s="82"/>
      <c r="L29" s="82"/>
      <c r="M29" s="82"/>
      <c r="N29" s="82"/>
    </row>
    <row r="30" customFormat="false" ht="15" hidden="false" customHeight="true" outlineLevel="0" collapsed="false">
      <c r="A30" s="83" t="s">
        <v>516</v>
      </c>
      <c r="B30" s="92" t="n">
        <f aca="false">'DAU &amp; Revenue Model'!B30*$D$6</f>
        <v>12</v>
      </c>
      <c r="C30" s="92" t="n">
        <f aca="false">'DAU &amp; Revenue Model'!C30*$D$6</f>
        <v>14.16</v>
      </c>
      <c r="D30" s="92" t="n">
        <f aca="false">'DAU &amp; Revenue Model'!D30*$D$6</f>
        <v>16.7088</v>
      </c>
      <c r="E30" s="92" t="n">
        <f aca="false">'DAU &amp; Revenue Model'!E30*$D$6</f>
        <v>19.716</v>
      </c>
      <c r="F30" s="92" t="n">
        <f aca="false">'DAU &amp; Revenue Model'!F30*$D$6</f>
        <v>23.2656</v>
      </c>
      <c r="G30" s="92" t="n">
        <f aca="false">'DAU &amp; Revenue Model'!G30*$D$6</f>
        <v>27.4536</v>
      </c>
      <c r="H30" s="92" t="n">
        <f aca="false">'DAU &amp; Revenue Model'!H30*$D$6</f>
        <v>32.3952</v>
      </c>
      <c r="I30" s="92" t="n">
        <f aca="false">'DAU &amp; Revenue Model'!I30*$D$6</f>
        <v>38.226</v>
      </c>
      <c r="J30" s="92" t="n">
        <f aca="false">'DAU &amp; Revenue Model'!J30*$D$6</f>
        <v>45.1068</v>
      </c>
      <c r="K30" s="92" t="n">
        <f aca="false">'DAU &amp; Revenue Model'!K30*$D$6</f>
        <v>53.226</v>
      </c>
      <c r="L30" s="92" t="n">
        <f aca="false">'DAU &amp; Revenue Model'!L30*$D$6</f>
        <v>62.8056</v>
      </c>
      <c r="M30" s="92" t="n">
        <f aca="false">'DAU &amp; Revenue Model'!M30*$D$6</f>
        <v>74.1108</v>
      </c>
      <c r="N30" s="87" t="n">
        <f aca="false">SUM(B30:M30)</f>
        <v>419.1744</v>
      </c>
    </row>
    <row r="31" customFormat="false" ht="15" hidden="false" customHeight="true" outlineLevel="0" collapsed="false">
      <c r="A31" s="83" t="s">
        <v>517</v>
      </c>
      <c r="B31" s="86" t="n">
        <f aca="false">$D$7</f>
        <v>18000</v>
      </c>
      <c r="C31" s="86" t="n">
        <f aca="false">$D$7</f>
        <v>18000</v>
      </c>
      <c r="D31" s="86" t="n">
        <f aca="false">$D$7</f>
        <v>18000</v>
      </c>
      <c r="E31" s="86" t="n">
        <f aca="false">$D$7</f>
        <v>18000</v>
      </c>
      <c r="F31" s="86" t="n">
        <f aca="false">$D$7</f>
        <v>18000</v>
      </c>
      <c r="G31" s="86" t="n">
        <f aca="false">$D$7</f>
        <v>18000</v>
      </c>
      <c r="H31" s="86" t="n">
        <f aca="false">$D$7</f>
        <v>18000</v>
      </c>
      <c r="I31" s="86" t="n">
        <f aca="false">$D$7</f>
        <v>18000</v>
      </c>
      <c r="J31" s="86" t="n">
        <f aca="false">$D$7</f>
        <v>18000</v>
      </c>
      <c r="K31" s="86" t="n">
        <f aca="false">$D$7</f>
        <v>18000</v>
      </c>
      <c r="L31" s="86" t="n">
        <f aca="false">$D$7</f>
        <v>18000</v>
      </c>
      <c r="M31" s="86" t="n">
        <f aca="false">$D$7</f>
        <v>18000</v>
      </c>
      <c r="N31" s="87" t="n">
        <f aca="false">SUM(B31:M31)</f>
        <v>216000</v>
      </c>
    </row>
    <row r="32" customFormat="false" ht="15" hidden="false" customHeight="true" outlineLevel="0" collapsed="false">
      <c r="A32" s="83" t="s">
        <v>518</v>
      </c>
      <c r="B32" s="86" t="n">
        <f aca="false">$D$8</f>
        <v>25000</v>
      </c>
      <c r="C32" s="86" t="n">
        <f aca="false">$D$8</f>
        <v>25000</v>
      </c>
      <c r="D32" s="86" t="n">
        <f aca="false">$D$8</f>
        <v>25000</v>
      </c>
      <c r="E32" s="86" t="n">
        <f aca="false">$D$8</f>
        <v>25000</v>
      </c>
      <c r="F32" s="86" t="n">
        <f aca="false">$D$8</f>
        <v>25000</v>
      </c>
      <c r="G32" s="86" t="n">
        <f aca="false">$D$8</f>
        <v>25000</v>
      </c>
      <c r="H32" s="86" t="n">
        <f aca="false">$D$8</f>
        <v>25000</v>
      </c>
      <c r="I32" s="86" t="n">
        <f aca="false">$D$8</f>
        <v>25000</v>
      </c>
      <c r="J32" s="86" t="n">
        <f aca="false">$D$8</f>
        <v>25000</v>
      </c>
      <c r="K32" s="86" t="n">
        <f aca="false">$D$8</f>
        <v>25000</v>
      </c>
      <c r="L32" s="86" t="n">
        <f aca="false">$D$8</f>
        <v>25000</v>
      </c>
      <c r="M32" s="86" t="n">
        <f aca="false">$D$8</f>
        <v>25000</v>
      </c>
      <c r="N32" s="87" t="n">
        <f aca="false">SUM(B32:M32)</f>
        <v>300000</v>
      </c>
    </row>
    <row r="33" customFormat="false" ht="15" hidden="false" customHeight="true" outlineLevel="0" collapsed="false">
      <c r="A33" s="83" t="s">
        <v>519</v>
      </c>
      <c r="B33" s="86" t="n">
        <f aca="false">B30+B31+B32</f>
        <v>43012</v>
      </c>
      <c r="C33" s="86" t="n">
        <f aca="false">C30+C31+C32</f>
        <v>43014.16</v>
      </c>
      <c r="D33" s="86" t="n">
        <f aca="false">D30+D31+D32</f>
        <v>43016.7088</v>
      </c>
      <c r="E33" s="86" t="n">
        <f aca="false">E30+E31+E32</f>
        <v>43019.716</v>
      </c>
      <c r="F33" s="86" t="n">
        <f aca="false">F30+F31+F32</f>
        <v>43023.2656</v>
      </c>
      <c r="G33" s="86" t="n">
        <f aca="false">G30+G31+G32</f>
        <v>43027.4536</v>
      </c>
      <c r="H33" s="86" t="n">
        <f aca="false">H30+H31+H32</f>
        <v>43032.3952</v>
      </c>
      <c r="I33" s="86" t="n">
        <f aca="false">I30+I31+I32</f>
        <v>43038.226</v>
      </c>
      <c r="J33" s="86" t="n">
        <f aca="false">J30+J31+J32</f>
        <v>43045.1068</v>
      </c>
      <c r="K33" s="86" t="n">
        <f aca="false">K30+K31+K32</f>
        <v>43053.226</v>
      </c>
      <c r="L33" s="86" t="n">
        <f aca="false">L30+L31+L32</f>
        <v>43062.8056</v>
      </c>
      <c r="M33" s="86" t="n">
        <f aca="false">M30+M31+M32</f>
        <v>43074.1108</v>
      </c>
      <c r="N33" s="87" t="n">
        <f aca="false">SUM(B33:M33)</f>
        <v>516419.1744</v>
      </c>
    </row>
    <row r="34" customFormat="false" ht="15" hidden="false" customHeight="true" outlineLevel="0" collapsed="false">
      <c r="A34" s="83" t="s">
        <v>502</v>
      </c>
      <c r="B34" s="92" t="n">
        <f aca="false">'DAU &amp; Revenue Model'!B34</f>
        <v>7560</v>
      </c>
      <c r="C34" s="92" t="n">
        <f aca="false">'DAU &amp; Revenue Model'!C34</f>
        <v>8920.8</v>
      </c>
      <c r="D34" s="92" t="n">
        <f aca="false">'DAU &amp; Revenue Model'!D34</f>
        <v>10521</v>
      </c>
      <c r="E34" s="92" t="n">
        <f aca="false">'DAU &amp; Revenue Model'!E34</f>
        <v>12423.6</v>
      </c>
      <c r="F34" s="92" t="n">
        <f aca="false">'DAU &amp; Revenue Model'!F34</f>
        <v>14653.8</v>
      </c>
      <c r="G34" s="92" t="n">
        <f aca="false">'DAU &amp; Revenue Model'!G34</f>
        <v>17299.8</v>
      </c>
      <c r="H34" s="92" t="n">
        <f aca="false">'DAU &amp; Revenue Model'!H34</f>
        <v>20412</v>
      </c>
      <c r="I34" s="92" t="n">
        <f aca="false">'DAU &amp; Revenue Model'!I34</f>
        <v>24078.6</v>
      </c>
      <c r="J34" s="92" t="n">
        <f aca="false">'DAU &amp; Revenue Model'!J34</f>
        <v>28413</v>
      </c>
      <c r="K34" s="92" t="n">
        <f aca="false">'DAU &amp; Revenue Model'!K34</f>
        <v>33528.6</v>
      </c>
      <c r="L34" s="92" t="n">
        <f aca="false">'DAU &amp; Revenue Model'!L34</f>
        <v>39564</v>
      </c>
      <c r="M34" s="92" t="n">
        <f aca="false">'DAU &amp; Revenue Model'!M34</f>
        <v>46695.6</v>
      </c>
      <c r="N34" s="87" t="n">
        <f aca="false">SUM(B34:M34)</f>
        <v>264070.8</v>
      </c>
    </row>
    <row r="35" customFormat="false" ht="15" hidden="false" customHeight="true" outlineLevel="0" collapsed="false">
      <c r="A35" s="83" t="s">
        <v>520</v>
      </c>
      <c r="B35" s="86" t="n">
        <f aca="false">B34-B33</f>
        <v>-35452</v>
      </c>
      <c r="C35" s="86" t="n">
        <f aca="false">C34-C33</f>
        <v>-34093.36</v>
      </c>
      <c r="D35" s="86" t="n">
        <f aca="false">D34-D33</f>
        <v>-32495.7088</v>
      </c>
      <c r="E35" s="86" t="n">
        <f aca="false">E34-E33</f>
        <v>-30596.116</v>
      </c>
      <c r="F35" s="86" t="n">
        <f aca="false">F34-F33</f>
        <v>-28369.4656</v>
      </c>
      <c r="G35" s="86" t="n">
        <f aca="false">G34-G33</f>
        <v>-25727.6536</v>
      </c>
      <c r="H35" s="86" t="n">
        <f aca="false">H34-H33</f>
        <v>-22620.3952</v>
      </c>
      <c r="I35" s="86" t="n">
        <f aca="false">I34-I33</f>
        <v>-18959.626</v>
      </c>
      <c r="J35" s="86" t="n">
        <f aca="false">J34-J33</f>
        <v>-14632.1068</v>
      </c>
      <c r="K35" s="86" t="n">
        <f aca="false">K34-K33</f>
        <v>-9524.626</v>
      </c>
      <c r="L35" s="86" t="n">
        <f aca="false">L34-L33</f>
        <v>-3498.8056</v>
      </c>
      <c r="M35" s="86" t="n">
        <f aca="false">M34-M33</f>
        <v>3621.48920000001</v>
      </c>
      <c r="N35" s="87" t="n">
        <f aca="false">SUM(B35:M35)</f>
        <v>-252348.3744</v>
      </c>
    </row>
    <row r="36" customFormat="false" ht="15" hidden="false" customHeight="true" outlineLevel="0" collapsed="false">
      <c r="A36" s="83" t="s">
        <v>521</v>
      </c>
      <c r="B36" s="86" t="n">
        <f aca="false">B35</f>
        <v>-35452</v>
      </c>
      <c r="C36" s="86" t="n">
        <f aca="false">B36+C35</f>
        <v>-69545.36</v>
      </c>
      <c r="D36" s="86" t="n">
        <f aca="false">C36+D35</f>
        <v>-102041.0688</v>
      </c>
      <c r="E36" s="86" t="n">
        <f aca="false">D36+E35</f>
        <v>-132637.1848</v>
      </c>
      <c r="F36" s="86" t="n">
        <f aca="false">E36+F35</f>
        <v>-161006.6504</v>
      </c>
      <c r="G36" s="86" t="n">
        <f aca="false">F36+G35</f>
        <v>-186734.304</v>
      </c>
      <c r="H36" s="86" t="n">
        <f aca="false">G36+H35</f>
        <v>-209354.6992</v>
      </c>
      <c r="I36" s="86" t="n">
        <f aca="false">H36+I35</f>
        <v>-228314.3252</v>
      </c>
      <c r="J36" s="86" t="n">
        <f aca="false">I36+J35</f>
        <v>-242946.432</v>
      </c>
      <c r="K36" s="86" t="n">
        <f aca="false">J36+K35</f>
        <v>-252471.058</v>
      </c>
      <c r="L36" s="86" t="n">
        <f aca="false">K36+L35</f>
        <v>-255969.8636</v>
      </c>
      <c r="M36" s="86" t="n">
        <f aca="false">L36+M35</f>
        <v>-252348.3744</v>
      </c>
      <c r="N36" s="87" t="n">
        <f aca="false">M36</f>
        <v>-252348.3744</v>
      </c>
    </row>
    <row r="38" customFormat="false" ht="21.75" hidden="false" customHeight="true" outlineLevel="0" collapsed="false">
      <c r="A38" s="9" t="s">
        <v>522</v>
      </c>
      <c r="B38" s="9"/>
      <c r="C38" s="9"/>
      <c r="D38" s="9"/>
      <c r="E38" s="9"/>
      <c r="F38" s="9"/>
      <c r="G38" s="9"/>
      <c r="H38" s="9"/>
      <c r="I38" s="9"/>
      <c r="J38" s="9"/>
      <c r="K38" s="9"/>
      <c r="L38" s="9"/>
      <c r="M38" s="9"/>
      <c r="N38" s="9"/>
    </row>
    <row r="39" customFormat="false" ht="27.75" hidden="false" customHeight="true" outlineLevel="0" collapsed="false">
      <c r="A39" s="8" t="s">
        <v>484</v>
      </c>
      <c r="B39" s="8" t="s">
        <v>476</v>
      </c>
      <c r="C39" s="8" t="s">
        <v>477</v>
      </c>
      <c r="D39" s="8" t="s">
        <v>478</v>
      </c>
      <c r="E39" s="8"/>
      <c r="F39" s="8"/>
      <c r="G39" s="8"/>
      <c r="H39" s="8"/>
      <c r="I39" s="8"/>
      <c r="J39" s="8"/>
      <c r="K39" s="8"/>
      <c r="L39" s="8"/>
      <c r="M39" s="8"/>
      <c r="N39" s="8" t="s">
        <v>297</v>
      </c>
    </row>
    <row r="40" customFormat="false" ht="15" hidden="false" customHeight="true" outlineLevel="0" collapsed="false">
      <c r="A40" s="25" t="s">
        <v>523</v>
      </c>
      <c r="B40" s="88" t="n">
        <f aca="false">N18</f>
        <v>-236476.602</v>
      </c>
      <c r="C40" s="88" t="n">
        <f aca="false">N27</f>
        <v>-276193.1088</v>
      </c>
      <c r="D40" s="88" t="n">
        <f aca="false">N36</f>
        <v>-252348.3744</v>
      </c>
      <c r="N40" s="31" t="s">
        <v>524</v>
      </c>
    </row>
    <row r="41" customFormat="false" ht="15" hidden="false" customHeight="true" outlineLevel="0" collapsed="false">
      <c r="A41" s="25" t="s">
        <v>525</v>
      </c>
      <c r="B41" s="93" t="str">
        <f aca="false">IFERROR("M"&amp;MATCH(TRUE(),INDEX(B18:M18&gt;0,0),0),"Not in 12 mo")</f>
        <v>Not in 12 mo</v>
      </c>
      <c r="C41" s="93" t="str">
        <f aca="false">IFERROR("M"&amp;MATCH(TRUE(),INDEX(B27:M27&gt;0,0),0),"Not in 12 mo")</f>
        <v>Not in 12 mo</v>
      </c>
      <c r="D41" s="93" t="str">
        <f aca="false">IFERROR("M"&amp;MATCH(TRUE(),INDEX(B36:M36&gt;0,0),0),"Not in 12 mo")</f>
        <v>Not in 12 mo</v>
      </c>
      <c r="N41" s="31" t="s">
        <v>526</v>
      </c>
    </row>
    <row r="42" customFormat="false" ht="15" hidden="false" customHeight="true" outlineLevel="0" collapsed="false">
      <c r="A42" s="25" t="s">
        <v>527</v>
      </c>
      <c r="B42" s="94" t="n">
        <f aca="false">N18/N15</f>
        <v>-0.985162361781064</v>
      </c>
      <c r="C42" s="94" t="n">
        <f aca="false">N27/N24</f>
        <v>-0.884870423518599</v>
      </c>
      <c r="D42" s="94" t="n">
        <f aca="false">N36/N33</f>
        <v>-0.488650280449385</v>
      </c>
      <c r="N42" s="31" t="s">
        <v>528</v>
      </c>
    </row>
  </sheetData>
  <mergeCells count="7">
    <mergeCell ref="A1:N1"/>
    <mergeCell ref="A2:N2"/>
    <mergeCell ref="A4:N4"/>
    <mergeCell ref="A11:N11"/>
    <mergeCell ref="A20:N20"/>
    <mergeCell ref="A29:N29"/>
    <mergeCell ref="A38:N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6" min="2" style="1" width="14"/>
    <col collapsed="false" customWidth="true" hidden="false" outlineLevel="0" max="7" min="7" style="1" width="36"/>
  </cols>
  <sheetData>
    <row r="1" customFormat="false" ht="19.5" hidden="false" customHeight="true" outlineLevel="0" collapsed="false">
      <c r="A1" s="2" t="s">
        <v>529</v>
      </c>
      <c r="B1" s="2"/>
      <c r="C1" s="2"/>
      <c r="D1" s="2"/>
      <c r="E1" s="2"/>
      <c r="F1" s="2"/>
      <c r="G1" s="2"/>
    </row>
    <row r="2" customFormat="false" ht="15" hidden="false" customHeight="true" outlineLevel="0" collapsed="false">
      <c r="A2" s="3" t="s">
        <v>530</v>
      </c>
      <c r="B2" s="3"/>
      <c r="C2" s="3"/>
      <c r="D2" s="3"/>
      <c r="E2" s="3"/>
      <c r="F2" s="3"/>
      <c r="G2" s="3"/>
    </row>
    <row r="4" customFormat="false" ht="21.75" hidden="false" customHeight="true" outlineLevel="0" collapsed="false">
      <c r="A4" s="9" t="s">
        <v>531</v>
      </c>
      <c r="B4" s="9"/>
      <c r="C4" s="9"/>
      <c r="D4" s="9"/>
      <c r="E4" s="9"/>
      <c r="F4" s="9"/>
      <c r="G4" s="9"/>
    </row>
    <row r="5" customFormat="false" ht="27.75" hidden="false" customHeight="true" outlineLevel="0" collapsed="false">
      <c r="A5" s="8" t="s">
        <v>289</v>
      </c>
      <c r="B5" s="8" t="s">
        <v>75</v>
      </c>
      <c r="C5" s="8"/>
      <c r="D5" s="8"/>
      <c r="E5" s="8"/>
      <c r="F5" s="8"/>
      <c r="G5" s="8" t="s">
        <v>297</v>
      </c>
    </row>
    <row r="6" customFormat="false" ht="26.25" hidden="false" customHeight="true" outlineLevel="0" collapsed="false">
      <c r="A6" s="11" t="s">
        <v>532</v>
      </c>
      <c r="B6" s="95" t="n">
        <f aca="false">'DAU &amp; Revenue Model'!$G$23</f>
        <v>322</v>
      </c>
      <c r="G6" s="31" t="s">
        <v>533</v>
      </c>
    </row>
    <row r="7" customFormat="false" ht="15" hidden="false" customHeight="true" outlineLevel="0" collapsed="false">
      <c r="A7" s="11" t="s">
        <v>534</v>
      </c>
      <c r="B7" s="96" t="s">
        <v>535</v>
      </c>
      <c r="G7" s="31" t="s">
        <v>536</v>
      </c>
    </row>
    <row r="8" customFormat="false" ht="15" hidden="false" customHeight="true" outlineLevel="0" collapsed="false">
      <c r="A8" s="11" t="s">
        <v>537</v>
      </c>
      <c r="B8" s="96" t="s">
        <v>538</v>
      </c>
      <c r="G8" s="31" t="s">
        <v>539</v>
      </c>
    </row>
    <row r="10" customFormat="false" ht="21.75" hidden="false" customHeight="true" outlineLevel="0" collapsed="false">
      <c r="A10" s="9" t="s">
        <v>540</v>
      </c>
      <c r="B10" s="9"/>
      <c r="C10" s="9"/>
      <c r="D10" s="9"/>
      <c r="E10" s="9"/>
      <c r="F10" s="9"/>
      <c r="G10" s="9"/>
    </row>
    <row r="11" customFormat="false" ht="27.75" hidden="false" customHeight="true" outlineLevel="0" collapsed="false">
      <c r="A11" s="8" t="s">
        <v>541</v>
      </c>
      <c r="B11" s="97" t="n">
        <v>4.99</v>
      </c>
      <c r="C11" s="97" t="n">
        <v>9.99</v>
      </c>
      <c r="D11" s="97" t="n">
        <v>14.99</v>
      </c>
      <c r="E11" s="97" t="n">
        <v>19.99</v>
      </c>
      <c r="F11" s="97" t="n">
        <v>24.99</v>
      </c>
      <c r="G11" s="8" t="s">
        <v>297</v>
      </c>
    </row>
    <row r="12" customFormat="false" ht="15" hidden="false" customHeight="true" outlineLevel="0" collapsed="false">
      <c r="A12" s="98" t="n">
        <v>0.2</v>
      </c>
      <c r="B12" s="99" t="n">
        <f aca="false">$B$6*A12*4.99*(1-Assumptions!$C$104)</f>
        <v>224.9492</v>
      </c>
      <c r="C12" s="99" t="n">
        <f aca="false">$B$6*A12*9.99*(1-Assumptions!$C$104)</f>
        <v>450.3492</v>
      </c>
      <c r="D12" s="99" t="n">
        <f aca="false">$B$6*A12*14.99*(1-Assumptions!$C$104)</f>
        <v>675.7492</v>
      </c>
      <c r="E12" s="99" t="n">
        <f aca="false">$B$6*A12*19.99*(1-Assumptions!$C$104)</f>
        <v>901.1492</v>
      </c>
      <c r="F12" s="99" t="n">
        <f aca="false">$B$6*A12*24.99*(1-Assumptions!$C$104)</f>
        <v>1126.5492</v>
      </c>
      <c r="G12" s="35" t="s">
        <v>542</v>
      </c>
    </row>
    <row r="13" customFormat="false" ht="15" hidden="false" customHeight="true" outlineLevel="0" collapsed="false">
      <c r="A13" s="100" t="n">
        <v>0.3</v>
      </c>
      <c r="B13" s="88" t="n">
        <f aca="false">$B$6*A13*4.99*(1-Assumptions!$C$104)</f>
        <v>337.4238</v>
      </c>
      <c r="C13" s="88" t="n">
        <f aca="false">$B$6*A13*9.99*(1-Assumptions!$C$104)</f>
        <v>675.5238</v>
      </c>
      <c r="D13" s="88" t="n">
        <f aca="false">$B$6*A13*14.99*(1-Assumptions!$C$104)</f>
        <v>1013.6238</v>
      </c>
      <c r="E13" s="88" t="n">
        <f aca="false">$B$6*A13*19.99*(1-Assumptions!$C$104)</f>
        <v>1351.7238</v>
      </c>
      <c r="F13" s="88" t="n">
        <f aca="false">$B$6*A13*24.99*(1-Assumptions!$C$104)</f>
        <v>1689.8238</v>
      </c>
    </row>
    <row r="14" customFormat="false" ht="15" hidden="false" customHeight="true" outlineLevel="0" collapsed="false">
      <c r="A14" s="98" t="n">
        <v>0.4</v>
      </c>
      <c r="B14" s="99" t="n">
        <f aca="false">$B$6*A14*4.99*(1-Assumptions!$C$104)</f>
        <v>449.8984</v>
      </c>
      <c r="C14" s="99" t="n">
        <f aca="false">$B$6*A14*9.99*(1-Assumptions!$C$104)</f>
        <v>900.6984</v>
      </c>
      <c r="D14" s="99" t="n">
        <f aca="false">$B$6*A14*14.99*(1-Assumptions!$C$104)</f>
        <v>1351.4984</v>
      </c>
      <c r="E14" s="99" t="n">
        <f aca="false">$B$6*A14*19.99*(1-Assumptions!$C$104)</f>
        <v>1802.2984</v>
      </c>
      <c r="F14" s="99" t="n">
        <f aca="false">$B$6*A14*24.99*(1-Assumptions!$C$104)</f>
        <v>2253.0984</v>
      </c>
      <c r="G14" s="35" t="s">
        <v>543</v>
      </c>
    </row>
    <row r="15" customFormat="false" ht="15" hidden="false" customHeight="true" outlineLevel="0" collapsed="false">
      <c r="A15" s="100" t="n">
        <v>0.5</v>
      </c>
      <c r="B15" s="88" t="n">
        <f aca="false">$B$6*A15*4.99*(1-Assumptions!$C$104)</f>
        <v>562.373</v>
      </c>
      <c r="C15" s="88" t="n">
        <f aca="false">$B$6*A15*9.99*(1-Assumptions!$C$104)</f>
        <v>1125.873</v>
      </c>
      <c r="D15" s="88" t="n">
        <f aca="false">$B$6*A15*14.99*(1-Assumptions!$C$104)</f>
        <v>1689.373</v>
      </c>
      <c r="E15" s="88" t="n">
        <f aca="false">$B$6*A15*19.99*(1-Assumptions!$C$104)</f>
        <v>2252.873</v>
      </c>
      <c r="F15" s="88" t="n">
        <f aca="false">$B$6*A15*24.99*(1-Assumptions!$C$104)</f>
        <v>2816.373</v>
      </c>
    </row>
    <row r="16" customFormat="false" ht="15" hidden="false" customHeight="true" outlineLevel="0" collapsed="false">
      <c r="A16" s="98" t="n">
        <v>0.6</v>
      </c>
      <c r="B16" s="99" t="n">
        <f aca="false">$B$6*A16*4.99*(1-Assumptions!$C$104)</f>
        <v>674.8476</v>
      </c>
      <c r="C16" s="99" t="n">
        <f aca="false">$B$6*A16*9.99*(1-Assumptions!$C$104)</f>
        <v>1351.0476</v>
      </c>
      <c r="D16" s="99" t="n">
        <f aca="false">$B$6*A16*14.99*(1-Assumptions!$C$104)</f>
        <v>2027.2476</v>
      </c>
      <c r="E16" s="99" t="n">
        <f aca="false">$B$6*A16*19.99*(1-Assumptions!$C$104)</f>
        <v>2703.4476</v>
      </c>
      <c r="F16" s="99" t="n">
        <f aca="false">$B$6*A16*24.99*(1-Assumptions!$C$104)</f>
        <v>3379.6476</v>
      </c>
      <c r="G16" s="36"/>
    </row>
    <row r="17" customFormat="false" ht="15" hidden="false" customHeight="true" outlineLevel="0" collapsed="false">
      <c r="A17" s="100" t="n">
        <v>0.7</v>
      </c>
      <c r="B17" s="88" t="n">
        <f aca="false">$B$6*A17*4.99*(1-Assumptions!$C$104)</f>
        <v>787.3222</v>
      </c>
      <c r="C17" s="88" t="n">
        <f aca="false">$B$6*A17*9.99*(1-Assumptions!$C$104)</f>
        <v>1576.2222</v>
      </c>
      <c r="D17" s="88" t="n">
        <f aca="false">$B$6*A17*14.99*(1-Assumptions!$C$104)</f>
        <v>2365.1222</v>
      </c>
      <c r="E17" s="88" t="n">
        <f aca="false">$B$6*A17*19.99*(1-Assumptions!$C$104)</f>
        <v>3154.0222</v>
      </c>
      <c r="F17" s="88" t="n">
        <f aca="false">$B$6*A17*24.99*(1-Assumptions!$C$104)</f>
        <v>3942.9222</v>
      </c>
    </row>
    <row r="18" customFormat="false" ht="15" hidden="false" customHeight="true" outlineLevel="0" collapsed="false">
      <c r="A18" s="98" t="n">
        <v>0.8</v>
      </c>
      <c r="B18" s="99" t="n">
        <f aca="false">$B$6*A18*4.99*(1-Assumptions!$C$104)</f>
        <v>899.7968</v>
      </c>
      <c r="C18" s="99" t="n">
        <f aca="false">$B$6*A18*9.99*(1-Assumptions!$C$104)</f>
        <v>1801.3968</v>
      </c>
      <c r="D18" s="99" t="n">
        <f aca="false">$B$6*A18*14.99*(1-Assumptions!$C$104)</f>
        <v>2702.9968</v>
      </c>
      <c r="E18" s="99" t="n">
        <f aca="false">$B$6*A18*19.99*(1-Assumptions!$C$104)</f>
        <v>3604.5968</v>
      </c>
      <c r="F18" s="99" t="n">
        <f aca="false">$B$6*A18*24.99*(1-Assumptions!$C$104)</f>
        <v>4506.1968</v>
      </c>
      <c r="G18" s="35" t="s">
        <v>544</v>
      </c>
    </row>
    <row r="20" customFormat="false" ht="21.75" hidden="false" customHeight="true" outlineLevel="0" collapsed="false">
      <c r="A20" s="9" t="s">
        <v>545</v>
      </c>
      <c r="B20" s="9"/>
      <c r="C20" s="9"/>
      <c r="D20" s="9"/>
      <c r="E20" s="9"/>
      <c r="F20" s="9"/>
      <c r="G20" s="9"/>
    </row>
    <row r="21" customFormat="false" ht="15" hidden="false" customHeight="true" outlineLevel="0" collapsed="false">
      <c r="A21" s="59" t="s">
        <v>546</v>
      </c>
      <c r="B21" s="59"/>
      <c r="C21" s="59"/>
      <c r="D21" s="59"/>
      <c r="E21" s="101" t="n">
        <f aca="false">MAX(B12:F18)</f>
        <v>4506.1968</v>
      </c>
      <c r="F21" s="60"/>
      <c r="G21" s="60"/>
    </row>
    <row r="22" customFormat="false" ht="15" hidden="false" customHeight="true" outlineLevel="0" collapsed="false">
      <c r="A22" s="59" t="s">
        <v>547</v>
      </c>
      <c r="B22" s="59"/>
      <c r="C22" s="59"/>
      <c r="D22" s="59"/>
      <c r="E22" s="101" t="n">
        <f aca="false">MAX(B12:F18)*12</f>
        <v>54074.3616</v>
      </c>
      <c r="F22" s="60"/>
      <c r="G22" s="60"/>
    </row>
    <row r="23" customFormat="false" ht="15" hidden="false" customHeight="true" outlineLevel="0" collapsed="false">
      <c r="A23" s="59" t="s">
        <v>548</v>
      </c>
      <c r="B23" s="59"/>
      <c r="C23" s="59"/>
      <c r="D23" s="59"/>
      <c r="E23" s="101" t="n">
        <f aca="false">C14*12</f>
        <v>10808.3808</v>
      </c>
      <c r="F23" s="60"/>
      <c r="G23" s="60"/>
    </row>
    <row r="25" customFormat="false" ht="39.75" hidden="false" customHeight="true" outlineLevel="0" collapsed="false">
      <c r="A25" s="62" t="s">
        <v>549</v>
      </c>
      <c r="B25" s="62"/>
      <c r="C25" s="62"/>
      <c r="D25" s="62"/>
      <c r="E25" s="62"/>
      <c r="F25" s="62"/>
      <c r="G25" s="62"/>
    </row>
  </sheetData>
  <mergeCells count="9">
    <mergeCell ref="A1:G1"/>
    <mergeCell ref="A2:G2"/>
    <mergeCell ref="A4:G4"/>
    <mergeCell ref="A10:G10"/>
    <mergeCell ref="A20:G20"/>
    <mergeCell ref="A21:D21"/>
    <mergeCell ref="A22:D22"/>
    <mergeCell ref="A23:D23"/>
    <mergeCell ref="A25:G25"/>
  </mergeCells>
  <conditionalFormatting sqref="B12:F18">
    <cfRule type="colorScale" priority="2">
      <colorScale>
        <cfvo type="min" val="0"/>
        <cfvo type="percentile" val="50"/>
        <cfvo type="max" val="0"/>
        <color rgb="FFF8F8F8"/>
        <color rgb="FFFFE699"/>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4" min="3" style="1" width="18"/>
    <col collapsed="false" customWidth="true" hidden="false" outlineLevel="0" max="5" min="5" style="1" width="12"/>
    <col collapsed="false" customWidth="true" hidden="false" outlineLevel="0" max="6" min="6" style="1" width="50"/>
  </cols>
  <sheetData>
    <row r="1" customFormat="false" ht="19.5" hidden="false" customHeight="true" outlineLevel="0" collapsed="false">
      <c r="A1" s="2" t="s">
        <v>550</v>
      </c>
      <c r="B1" s="2"/>
      <c r="C1" s="2"/>
      <c r="D1" s="2"/>
      <c r="E1" s="2"/>
      <c r="F1" s="2"/>
    </row>
    <row r="2" customFormat="false" ht="15" hidden="false" customHeight="true" outlineLevel="0" collapsed="false">
      <c r="A2" s="3" t="s">
        <v>551</v>
      </c>
      <c r="B2" s="3"/>
      <c r="C2" s="3"/>
      <c r="D2" s="3"/>
      <c r="E2" s="3"/>
      <c r="F2" s="3"/>
    </row>
    <row r="4" customFormat="false" ht="27.75" hidden="false" customHeight="true" outlineLevel="0" collapsed="false">
      <c r="A4" s="8" t="s">
        <v>73</v>
      </c>
      <c r="B4" s="8" t="s">
        <v>552</v>
      </c>
      <c r="C4" s="8" t="s">
        <v>553</v>
      </c>
      <c r="D4" s="8" t="s">
        <v>554</v>
      </c>
      <c r="E4" s="8" t="s">
        <v>555</v>
      </c>
      <c r="F4" s="8" t="s">
        <v>297</v>
      </c>
    </row>
    <row r="5" customFormat="false" ht="21.75" hidden="false" customHeight="true" outlineLevel="0" collapsed="false">
      <c r="A5" s="9" t="s">
        <v>556</v>
      </c>
      <c r="B5" s="9"/>
      <c r="C5" s="9"/>
      <c r="D5" s="9"/>
      <c r="E5" s="9"/>
      <c r="F5" s="9"/>
    </row>
    <row r="6" customFormat="false" ht="26.25" hidden="false" customHeight="true" outlineLevel="0" collapsed="false">
      <c r="A6" s="102" t="n">
        <v>1</v>
      </c>
      <c r="B6" s="63" t="s">
        <v>557</v>
      </c>
      <c r="C6" s="103" t="s">
        <v>558</v>
      </c>
      <c r="D6" s="104" t="str">
        <f aca="false">IF(Assumptions!$C$9*Assumptions!$C$8=Assumptions!$C$6,"TRUE","FALSE")</f>
        <v>TRUE</v>
      </c>
      <c r="E6" s="32" t="str">
        <f aca="false">IF(Assumptions!$C$9*Assumptions!$C$8=Assumptions!$C$6,"PASS","FAIL")</f>
        <v>PASS</v>
      </c>
      <c r="F6" s="105" t="s">
        <v>559</v>
      </c>
    </row>
    <row r="7" customFormat="false" ht="26.25" hidden="false" customHeight="true" outlineLevel="0" collapsed="false">
      <c r="A7" s="10" t="n">
        <v>2</v>
      </c>
      <c r="B7" s="11" t="s">
        <v>560</v>
      </c>
      <c r="C7" s="106" t="s">
        <v>558</v>
      </c>
      <c r="D7" s="107" t="str">
        <f aca="false">IF(Assumptions!$C$53=Assumptions!$C$9,"TRUE","FALSE")</f>
        <v>TRUE</v>
      </c>
      <c r="E7" s="28" t="str">
        <f aca="false">IF(Assumptions!$C$53=Assumptions!$C$9,"PASS","FAIL")</f>
        <v>PASS</v>
      </c>
      <c r="F7" s="14" t="s">
        <v>561</v>
      </c>
    </row>
    <row r="8" customFormat="false" ht="15" hidden="false" customHeight="true" outlineLevel="0" collapsed="false">
      <c r="A8" s="102" t="n">
        <v>3</v>
      </c>
      <c r="B8" s="63" t="s">
        <v>562</v>
      </c>
      <c r="C8" s="103" t="s">
        <v>558</v>
      </c>
      <c r="D8" s="104" t="str">
        <f aca="false">IF(Assumptions!$C$7&gt;Assumptions!$C$6,"TRUE","FALSE")</f>
        <v>TRUE</v>
      </c>
      <c r="E8" s="32" t="str">
        <f aca="false">IF(Assumptions!$C$7&gt;Assumptions!$C$6,"PASS","WARN")</f>
        <v>PASS</v>
      </c>
      <c r="F8" s="105" t="s">
        <v>563</v>
      </c>
    </row>
    <row r="9" customFormat="false" ht="21.75" hidden="false" customHeight="true" outlineLevel="0" collapsed="false">
      <c r="A9" s="9" t="s">
        <v>564</v>
      </c>
      <c r="B9" s="9"/>
      <c r="C9" s="9"/>
      <c r="D9" s="9"/>
      <c r="E9" s="9"/>
      <c r="F9" s="9"/>
    </row>
    <row r="10" customFormat="false" ht="26.25" hidden="false" customHeight="true" outlineLevel="0" collapsed="false">
      <c r="A10" s="102" t="n">
        <v>4</v>
      </c>
      <c r="B10" s="63" t="s">
        <v>565</v>
      </c>
      <c r="C10" s="103" t="s">
        <v>566</v>
      </c>
      <c r="D10" s="104" t="n">
        <f aca="false">(Assumptions!$C$26-Assumptions!$C$17)</f>
        <v>-0.01</v>
      </c>
      <c r="E10" s="32" t="str">
        <f aca="false">IF((Assumptions!$C$26-Assumptions!$C$17)&lt;0.08,"PASS",IF((Assumptions!$C$26-Assumptions!$C$17)&lt;0.12,"WARN","FAIL"))</f>
        <v>PASS</v>
      </c>
      <c r="F10" s="105" t="s">
        <v>567</v>
      </c>
    </row>
    <row r="11" customFormat="false" ht="15" hidden="false" customHeight="true" outlineLevel="0" collapsed="false">
      <c r="A11" s="10" t="n">
        <v>5</v>
      </c>
      <c r="B11" s="11" t="s">
        <v>568</v>
      </c>
      <c r="C11" s="106" t="s">
        <v>569</v>
      </c>
      <c r="D11" s="108" t="n">
        <f aca="false">'Enemy Stats'!$F$80</f>
        <v>7.5</v>
      </c>
      <c r="E11" s="28" t="str">
        <f aca="false">IF(AND('Enemy Stats'!$F$80&gt;=3,'Enemy Stats'!$F$80&lt;=8),"PASS",IF(OR('Enemy Stats'!$F$80&lt;2,'Enemy Stats'!$F$80&gt;12),"FAIL","WARN"))</f>
        <v>PASS</v>
      </c>
      <c r="F11" s="14" t="s">
        <v>570</v>
      </c>
    </row>
    <row r="12" customFormat="false" ht="15" hidden="false" customHeight="true" outlineLevel="0" collapsed="false">
      <c r="A12" s="102" t="n">
        <v>6</v>
      </c>
      <c r="B12" s="63" t="s">
        <v>571</v>
      </c>
      <c r="C12" s="103" t="s">
        <v>572</v>
      </c>
      <c r="D12" s="109" t="n">
        <f aca="false">'Enemy Stats'!$F$81</f>
        <v>26</v>
      </c>
      <c r="E12" s="32" t="str">
        <f aca="false">IF('Enemy Stats'!$F$81&lt;50,"PASS",IF('Enemy Stats'!$F$81&lt;100,"WARN","FAIL"))</f>
        <v>PASS</v>
      </c>
      <c r="F12" s="105" t="s">
        <v>573</v>
      </c>
    </row>
    <row r="13" customFormat="false" ht="26.25" hidden="false" customHeight="true" outlineLevel="0" collapsed="false">
      <c r="A13" s="10" t="n">
        <v>7</v>
      </c>
      <c r="B13" s="11" t="s">
        <v>574</v>
      </c>
      <c r="C13" s="106" t="s">
        <v>575</v>
      </c>
      <c r="D13" s="110" t="n">
        <f aca="false">'Run Pacing'!$I$48</f>
        <v>-0.211666666666667</v>
      </c>
      <c r="E13" s="28" t="str">
        <f aca="false">IF(ABS('Run Pacing'!$I$48)&lt;Assumptions!$C$54*0.5,"PASS",IF(ABS('Run Pacing'!$I$48)&lt;Assumptions!$C$54*1,"WARN","FAIL"))</f>
        <v>PASS</v>
      </c>
      <c r="F13" s="14" t="s">
        <v>576</v>
      </c>
    </row>
    <row r="14" customFormat="false" ht="21.75" hidden="false" customHeight="true" outlineLevel="0" collapsed="false">
      <c r="A14" s="9" t="s">
        <v>577</v>
      </c>
      <c r="B14" s="9"/>
      <c r="C14" s="9"/>
      <c r="D14" s="9"/>
      <c r="E14" s="9"/>
      <c r="F14" s="9"/>
    </row>
    <row r="15" customFormat="false" ht="15" hidden="false" customHeight="true" outlineLevel="0" collapsed="false">
      <c r="A15" s="10" t="n">
        <v>8</v>
      </c>
      <c r="B15" s="11" t="s">
        <v>578</v>
      </c>
      <c r="C15" s="106" t="s">
        <v>579</v>
      </c>
      <c r="D15" s="111" t="n">
        <f aca="false">'Mutation Costs'!$F$23</f>
        <v>9</v>
      </c>
      <c r="E15" s="28" t="str">
        <f aca="false">IF(AND('Mutation Costs'!$F$23&gt;=5,'Mutation Costs'!$F$23&lt;=20),"PASS",IF('Mutation Costs'!$F$23&lt;3,"FAIL",IF('Mutation Costs'!$F$23&gt;30,"FAIL","WARN")))</f>
        <v>PASS</v>
      </c>
      <c r="F15" s="14" t="s">
        <v>580</v>
      </c>
    </row>
    <row r="16" customFormat="false" ht="26.25" hidden="false" customHeight="true" outlineLevel="0" collapsed="false">
      <c r="A16" s="102" t="n">
        <v>9</v>
      </c>
      <c r="B16" s="63" t="s">
        <v>581</v>
      </c>
      <c r="C16" s="103" t="s">
        <v>582</v>
      </c>
      <c r="D16" s="104" t="n">
        <f aca="false">Currencies!$E$50/Assumptions!$C$76</f>
        <v>9.595</v>
      </c>
      <c r="E16" s="32" t="str">
        <f aca="false">IF(Currencies!$E$50/Assumptions!$C$76&gt;=1,"PASS",IF(Currencies!$E$50/Assumptions!$C$76&gt;=0.5,"WARN","FAIL"))</f>
        <v>PASS</v>
      </c>
      <c r="F16" s="105" t="s">
        <v>583</v>
      </c>
    </row>
    <row r="17" customFormat="false" ht="15" hidden="false" customHeight="true" outlineLevel="0" collapsed="false">
      <c r="A17" s="10" t="n">
        <v>10</v>
      </c>
      <c r="B17" s="11" t="s">
        <v>584</v>
      </c>
      <c r="C17" s="106" t="s">
        <v>558</v>
      </c>
      <c r="D17" s="107" t="str">
        <f aca="false">IF(AND(Assumptions!$C$34&lt;=1,Assumptions!$C$35&lt;=1,Assumptions!$C$36&lt;=1,Assumptions!$C$37&lt;=1,Assumptions!$C$39&lt;=1,Assumptions!$C$41&lt;=1,Assumptions!$C$42&lt;=1),"TRUE","FALSE")</f>
        <v>TRUE</v>
      </c>
      <c r="E17" s="28" t="str">
        <f aca="false">IF(AND(Assumptions!$C$34&lt;=1,Assumptions!$C$35&lt;=1,Assumptions!$C$36&lt;=1,Assumptions!$C$37&lt;=1,Assumptions!$C$39&lt;=1,Assumptions!$C$41&lt;=1,Assumptions!$C$42&lt;=1),"PASS","FAIL")</f>
        <v>PASS</v>
      </c>
      <c r="F17" s="14" t="s">
        <v>585</v>
      </c>
    </row>
    <row r="18" customFormat="false" ht="15" hidden="false" customHeight="true" outlineLevel="0" collapsed="false">
      <c r="A18" s="102" t="n">
        <v>11</v>
      </c>
      <c r="B18" s="63" t="s">
        <v>586</v>
      </c>
      <c r="C18" s="103" t="s">
        <v>558</v>
      </c>
      <c r="D18" s="104" t="str">
        <f aca="false">IF(Assumptions!$C$41&gt;=Assumptions!$C$39,"TRUE","FALSE")</f>
        <v>TRUE</v>
      </c>
      <c r="E18" s="32" t="str">
        <f aca="false">IF(Assumptions!$C$41&gt;=Assumptions!$C$39,"PASS","FAIL")</f>
        <v>PASS</v>
      </c>
      <c r="F18" s="105" t="s">
        <v>587</v>
      </c>
    </row>
    <row r="19" customFormat="false" ht="21.75" hidden="false" customHeight="true" outlineLevel="0" collapsed="false">
      <c r="A19" s="9" t="s">
        <v>588</v>
      </c>
      <c r="B19" s="9"/>
      <c r="C19" s="9"/>
      <c r="D19" s="9"/>
      <c r="E19" s="9"/>
      <c r="F19" s="9"/>
    </row>
    <row r="20" customFormat="false" ht="15" hidden="false" customHeight="true" outlineLevel="0" collapsed="false">
      <c r="A20" s="102" t="n">
        <v>12</v>
      </c>
      <c r="B20" s="63" t="s">
        <v>589</v>
      </c>
      <c r="C20" s="103" t="s">
        <v>590</v>
      </c>
      <c r="D20" s="112" t="n">
        <f aca="false">'IAP Catalog'!$C$26</f>
        <v>7.49</v>
      </c>
      <c r="E20" s="32" t="str">
        <f aca="false">IF(AND('IAP Catalog'!$C$26&gt;=5,'IAP Catalog'!$C$26&lt;=10),"PASS","WARN")</f>
        <v>PASS</v>
      </c>
      <c r="F20" s="105" t="s">
        <v>591</v>
      </c>
    </row>
    <row r="21" customFormat="false" ht="26.25" hidden="false" customHeight="true" outlineLevel="0" collapsed="false">
      <c r="A21" s="10" t="n">
        <v>13</v>
      </c>
      <c r="B21" s="11" t="s">
        <v>592</v>
      </c>
      <c r="C21" s="106" t="s">
        <v>558</v>
      </c>
      <c r="D21" s="113" t="n">
        <f aca="false">'IAP Catalog'!H21/'IAP Catalog'!C21</f>
        <v>35.9671813554044</v>
      </c>
      <c r="E21" s="28" t="str">
        <f aca="false">IF('IAP Catalog'!H21/'IAP Catalog'!C21&gt;=MAX('IAP Catalog'!H16/'IAP Catalog'!C16,'IAP Catalog'!H17/'IAP Catalog'!C17,'IAP Catalog'!H18/'IAP Catalog'!C18,'IAP Catalog'!H19/'IAP Catalog'!C19,'IAP Catalog'!H20/'IAP Catalog'!C20),"PASS","WARN")</f>
        <v>PASS</v>
      </c>
      <c r="F21" s="14" t="s">
        <v>593</v>
      </c>
    </row>
    <row r="22" customFormat="false" ht="15" hidden="false" customHeight="true" outlineLevel="0" collapsed="false">
      <c r="A22" s="102" t="n">
        <v>14</v>
      </c>
      <c r="B22" s="63" t="s">
        <v>594</v>
      </c>
      <c r="C22" s="103" t="s">
        <v>595</v>
      </c>
      <c r="D22" s="112" t="n">
        <f aca="false">'IAP Catalog'!$C$21</f>
        <v>9.99</v>
      </c>
      <c r="E22" s="32" t="str">
        <f aca="false">IF(AND('IAP Catalog'!$C$21&gt;=5,'IAP Catalog'!$C$21&lt;=15),"PASS","WARN")</f>
        <v>PASS</v>
      </c>
      <c r="F22" s="105" t="s">
        <v>596</v>
      </c>
    </row>
    <row r="23" customFormat="false" ht="21.75" hidden="false" customHeight="true" outlineLevel="0" collapsed="false">
      <c r="A23" s="9" t="s">
        <v>597</v>
      </c>
      <c r="B23" s="9"/>
      <c r="C23" s="9"/>
      <c r="D23" s="9"/>
      <c r="E23" s="9"/>
      <c r="F23" s="9"/>
    </row>
    <row r="24" customFormat="false" ht="26.25" hidden="false" customHeight="true" outlineLevel="0" collapsed="false">
      <c r="A24" s="102" t="n">
        <v>15</v>
      </c>
      <c r="B24" s="63" t="s">
        <v>598</v>
      </c>
      <c r="C24" s="103" t="s">
        <v>599</v>
      </c>
      <c r="D24" s="114" t="n">
        <f aca="false">'Cost Projection'!$M$35</f>
        <v>3621.48920000001</v>
      </c>
      <c r="E24" s="32" t="str">
        <f aca="false">IF('Cost Projection'!$M$35&gt;=0,"PASS",IF('Cost Projection'!$M$35&gt;-10000,"WARN","FAIL"))</f>
        <v>PASS</v>
      </c>
      <c r="F24" s="105" t="s">
        <v>600</v>
      </c>
    </row>
    <row r="25" customFormat="false" ht="21.75" hidden="false" customHeight="true" outlineLevel="0" collapsed="false">
      <c r="A25" s="10" t="n">
        <v>16</v>
      </c>
      <c r="B25" s="11" t="s">
        <v>601</v>
      </c>
      <c r="C25" s="106" t="s">
        <v>602</v>
      </c>
      <c r="D25" s="110" t="n">
        <f aca="false">'Cost Projection'!$M$36/'Cost Projection'!$N$33</f>
        <v>-0.488650280449385</v>
      </c>
      <c r="E25" s="28" t="str">
        <f aca="false">IF('Cost Projection'!$M$36/'Cost Projection'!$N$33&gt;=-0.5,"PASS",IF('Cost Projection'!$M$36/'Cost Projection'!$N$33&gt;=-0.75,"WARN","FAIL"))</f>
        <v>PASS</v>
      </c>
      <c r="F25" s="14" t="s">
        <v>603</v>
      </c>
    </row>
    <row r="26" customFormat="false" ht="26.25" hidden="false" customHeight="true" outlineLevel="0" collapsed="false">
      <c r="A26" s="102" t="n">
        <v>17</v>
      </c>
      <c r="B26" s="63" t="s">
        <v>604</v>
      </c>
      <c r="C26" s="103" t="s">
        <v>605</v>
      </c>
      <c r="D26" s="115" t="n">
        <f aca="false">'Cost Projection'!$N$30/'Cost Projection'!$N$34</f>
        <v>0.00158735611813196</v>
      </c>
      <c r="E26" s="32" t="str">
        <f aca="false">IF('Cost Projection'!$N$30/'Cost Projection'!$N$34&lt;0.05,"PASS",IF('Cost Projection'!$N$30/'Cost Projection'!$N$34&lt;0.1,"WARN","FAIL"))</f>
        <v>PASS</v>
      </c>
      <c r="F26" s="105" t="s">
        <v>606</v>
      </c>
    </row>
    <row r="27" customFormat="false" ht="21.75" hidden="false" customHeight="true" outlineLevel="0" collapsed="false">
      <c r="A27" s="9" t="s">
        <v>607</v>
      </c>
      <c r="B27" s="9"/>
      <c r="C27" s="9"/>
      <c r="D27" s="9"/>
      <c r="E27" s="9"/>
      <c r="F27" s="9"/>
    </row>
    <row r="28" customFormat="false" ht="26.25" hidden="false" customHeight="true" outlineLevel="0" collapsed="false">
      <c r="A28" s="102" t="n">
        <v>18</v>
      </c>
      <c r="B28" s="63" t="s">
        <v>608</v>
      </c>
      <c r="C28" s="103" t="s">
        <v>558</v>
      </c>
      <c r="D28" s="104" t="str">
        <f aca="false">IF(AND(Assumptions!$C$103&gt;Assumptions!$C$99,Assumptions!$C$99&gt;Assumptions!$C$95),"TRUE","FALSE")</f>
        <v>TRUE</v>
      </c>
      <c r="E28" s="32" t="str">
        <f aca="false">IF(AND(Assumptions!$C$103&gt;Assumptions!$C$99,Assumptions!$C$99&gt;Assumptions!$C$95),"PASS","FAIL")</f>
        <v>PASS</v>
      </c>
      <c r="F28" s="105" t="s">
        <v>609</v>
      </c>
    </row>
    <row r="29" customFormat="false" ht="26.25" hidden="false" customHeight="true" outlineLevel="0" collapsed="false">
      <c r="A29" s="10" t="n">
        <v>19</v>
      </c>
      <c r="B29" s="11" t="s">
        <v>610</v>
      </c>
      <c r="C29" s="106" t="s">
        <v>558</v>
      </c>
      <c r="D29" s="107" t="str">
        <f aca="false">IF(AND(Assumptions!$C$101&gt;Assumptions!$C$97,Assumptions!$C$97&gt;Assumptions!$C$93),"TRUE","FALSE")</f>
        <v>TRUE</v>
      </c>
      <c r="E29" s="28" t="str">
        <f aca="false">IF(AND(Assumptions!$C$101&gt;Assumptions!$C$97,Assumptions!$C$97&gt;Assumptions!$C$93),"PASS","FAIL")</f>
        <v>PASS</v>
      </c>
      <c r="F29" s="14" t="s">
        <v>611</v>
      </c>
    </row>
    <row r="30" customFormat="false" ht="26.25" hidden="false" customHeight="true" outlineLevel="0" collapsed="false">
      <c r="A30" s="102" t="n">
        <v>20</v>
      </c>
      <c r="B30" s="63" t="s">
        <v>612</v>
      </c>
      <c r="C30" s="103" t="s">
        <v>558</v>
      </c>
      <c r="D30" s="104" t="str">
        <f aca="false">IF(AND(Assumptions!$C$102&gt;Assumptions!$C$98,Assumptions!$C$98&gt;Assumptions!$C$94),"TRUE","FALSE")</f>
        <v>TRUE</v>
      </c>
      <c r="E30" s="32" t="str">
        <f aca="false">IF(AND(Assumptions!$C$102&gt;Assumptions!$C$98,Assumptions!$C$98&gt;Assumptions!$C$94),"PASS","FAIL")</f>
        <v>PASS</v>
      </c>
      <c r="F30" s="105" t="s">
        <v>611</v>
      </c>
    </row>
    <row r="32" customFormat="false" ht="21.75" hidden="false" customHeight="true" outlineLevel="0" collapsed="false">
      <c r="A32" s="9" t="s">
        <v>613</v>
      </c>
      <c r="B32" s="9"/>
      <c r="C32" s="9"/>
      <c r="D32" s="9"/>
      <c r="E32" s="9"/>
      <c r="F32" s="9"/>
    </row>
    <row r="33" customFormat="false" ht="15" hidden="false" customHeight="true" outlineLevel="0" collapsed="false">
      <c r="B33" s="25" t="s">
        <v>614</v>
      </c>
      <c r="C33" s="116" t="n">
        <f aca="false">COUNTIF(E6:E30,"PASS")</f>
        <v>20</v>
      </c>
    </row>
    <row r="34" customFormat="false" ht="15" hidden="false" customHeight="true" outlineLevel="0" collapsed="false">
      <c r="B34" s="25" t="s">
        <v>615</v>
      </c>
      <c r="C34" s="117" t="n">
        <f aca="false">COUNTIF(E6:E30,"WARN")</f>
        <v>0</v>
      </c>
    </row>
    <row r="35" customFormat="false" ht="15" hidden="false" customHeight="true" outlineLevel="0" collapsed="false">
      <c r="B35" s="25" t="s">
        <v>616</v>
      </c>
      <c r="C35" s="118" t="n">
        <f aca="false">COUNTIF(E6:E30,"FAIL")</f>
        <v>0</v>
      </c>
    </row>
    <row r="37" customFormat="false" ht="15" hidden="false" customHeight="true" outlineLevel="0" collapsed="false">
      <c r="B37" s="25" t="s">
        <v>617</v>
      </c>
      <c r="C37" s="119" t="str">
        <f aca="false">IF(COUNTIF(E6:E30,"FAIL")&gt;0,"BLOCK",IF(COUNTIF(E6:E30,"WARN")&gt;0,"REVIEW","READY"))</f>
        <v>READY</v>
      </c>
    </row>
  </sheetData>
  <mergeCells count="9">
    <mergeCell ref="A1:F1"/>
    <mergeCell ref="A2:F2"/>
    <mergeCell ref="A5:F5"/>
    <mergeCell ref="A9:F9"/>
    <mergeCell ref="A14:F14"/>
    <mergeCell ref="A19:F19"/>
    <mergeCell ref="A23:F23"/>
    <mergeCell ref="A27:F27"/>
    <mergeCell ref="A32:F32"/>
  </mergeCells>
  <conditionalFormatting sqref="E6:E30">
    <cfRule type="cellIs" priority="2" operator="equal" aboveAverage="0" equalAverage="0" bottom="0" percent="0" rank="0" text="" dxfId="0">
      <formula>"PASS"</formula>
    </cfRule>
    <cfRule type="cellIs" priority="3" operator="equal" aboveAverage="0" equalAverage="0" bottom="0" percent="0" rank="0" text="" dxfId="1">
      <formula>"WARN"</formula>
    </cfRule>
    <cfRule type="cellIs" priority="4" operator="equal" aboveAverage="0" equalAverage="0" bottom="0" percent="0" rank="0" text="" dxfId="2">
      <formula>"FAIL"</formula>
    </cfRule>
  </conditionalFormatting>
  <conditionalFormatting sqref="C37">
    <cfRule type="cellIs" priority="5" operator="equal" aboveAverage="0" equalAverage="0" bottom="0" percent="0" rank="0" text="" dxfId="0">
      <formula>"READY"</formula>
    </cfRule>
    <cfRule type="cellIs" priority="6" operator="equal" aboveAverage="0" equalAverage="0" bottom="0" percent="0" rank="0" text="" dxfId="1">
      <formula>"REVIEW"</formula>
    </cfRule>
    <cfRule type="cellIs" priority="7" operator="equal" aboveAverage="0" equalAverage="0" bottom="0" percent="0" rank="0" text="" dxfId="2">
      <formula>"BLOCK"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2026-05-25T06:53:36Z</dcterms:created>
  <dc:creator>openpyxl</dc:creator>
  <dc:description/>
  <dc:language>en-US</dc:language>
  <cp:lastModifiedBy/>
  <dcterms:modified xsi:type="dcterms:W3CDTF">2026-05-27T07:00:16Z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